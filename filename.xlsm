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8800" windowHeight="12330"/>
  </bookViews>
  <sheets>
    <sheet name="Сотрудники" sheetId="1" r:id="rId1"/>
    <sheet name="Электробезопасн" sheetId="91" r:id="rId2"/>
    <sheet name="Охрана труда (г" sheetId="90" r:id="rId3"/>
    <sheet name="Пожарная безопа" sheetId="89" r:id="rId4"/>
    <sheet name="Мероприятия" sheetId="8" r:id="rId5"/>
    <sheet name="Отвественные" sheetId="7" r:id="rId6"/>
    <sheet name="Дата последнего оповещения" sheetId="6" r:id="rId7"/>
    <sheet name="Свод" sheetId="9" r:id="rId8"/>
    <sheet name="Историчность" sheetId="4" r:id="rId9"/>
    <sheet name="Образец письма" sheetId="2" r:id="rId10"/>
  </sheets>
  <definedNames>
    <definedName name="_FilterDatabase" localSheetId="0" hidden="1">Сотрудники!$A$8:$Q$1697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I8" i="1"/>
  <c r="H8" i="1"/>
  <c r="K7" i="1" l="1"/>
  <c r="A641" i="91" l="1"/>
  <c r="A640" i="91"/>
  <c r="A639" i="91"/>
  <c r="A638" i="91"/>
  <c r="A637" i="91"/>
  <c r="A636" i="91"/>
  <c r="A635" i="91"/>
  <c r="A634" i="91"/>
  <c r="A633" i="91"/>
  <c r="A632" i="91"/>
  <c r="A631" i="91"/>
  <c r="A630" i="91"/>
  <c r="A629" i="91"/>
  <c r="A628" i="91"/>
  <c r="A627" i="91"/>
  <c r="A626" i="91"/>
  <c r="A625" i="91"/>
  <c r="A624" i="91"/>
  <c r="A623" i="91"/>
  <c r="A622" i="91"/>
  <c r="A621" i="91"/>
  <c r="A620" i="91"/>
  <c r="A619" i="91"/>
  <c r="A618" i="91"/>
  <c r="A617" i="91"/>
  <c r="A616" i="91"/>
  <c r="A615" i="91"/>
  <c r="A614" i="91"/>
  <c r="A613" i="91"/>
  <c r="A612" i="91"/>
  <c r="A611" i="91"/>
  <c r="A610" i="91"/>
  <c r="A609" i="91"/>
  <c r="A608" i="91"/>
  <c r="A607" i="91"/>
  <c r="A606" i="91"/>
  <c r="A605" i="91"/>
  <c r="A604" i="91"/>
  <c r="A603" i="91"/>
  <c r="A602" i="91"/>
  <c r="A601" i="91"/>
  <c r="A600" i="91"/>
  <c r="A599" i="91"/>
  <c r="A598" i="91"/>
  <c r="A597" i="91"/>
  <c r="A596" i="91"/>
  <c r="A595" i="91"/>
  <c r="A594" i="91"/>
  <c r="A593" i="91"/>
  <c r="A592" i="91"/>
  <c r="A591" i="91"/>
  <c r="A590" i="91"/>
  <c r="A589" i="91"/>
  <c r="A588" i="91"/>
  <c r="A587" i="91"/>
  <c r="A586" i="91"/>
  <c r="A585" i="91"/>
  <c r="A584" i="91"/>
  <c r="A583" i="91"/>
  <c r="A582" i="91"/>
  <c r="A581" i="91"/>
  <c r="A580" i="91"/>
  <c r="A579" i="91"/>
  <c r="A578" i="91"/>
  <c r="A577" i="91"/>
  <c r="A576" i="91"/>
  <c r="A575" i="91"/>
  <c r="A574" i="91"/>
  <c r="A573" i="91"/>
  <c r="A572" i="91"/>
  <c r="A571" i="91"/>
  <c r="A570" i="91"/>
  <c r="A569" i="91"/>
  <c r="A568" i="91"/>
  <c r="A567" i="91"/>
  <c r="A566" i="91"/>
  <c r="A565" i="91"/>
  <c r="A564" i="91"/>
  <c r="A563" i="91"/>
  <c r="A562" i="91"/>
  <c r="A561" i="91"/>
  <c r="A560" i="91"/>
  <c r="A559" i="91"/>
  <c r="A558" i="91"/>
  <c r="A557" i="91"/>
  <c r="A556" i="91"/>
  <c r="A555" i="91"/>
  <c r="A554" i="91"/>
  <c r="A553" i="91"/>
  <c r="A552" i="91"/>
  <c r="A551" i="91"/>
  <c r="A550" i="91"/>
  <c r="A549" i="91"/>
  <c r="A548" i="91"/>
  <c r="A547" i="91"/>
  <c r="A546" i="91"/>
  <c r="A545" i="91"/>
  <c r="A544" i="91"/>
  <c r="A543" i="91"/>
  <c r="A542" i="91"/>
  <c r="A541" i="91"/>
  <c r="A540" i="91"/>
  <c r="A539" i="91"/>
  <c r="A538" i="91"/>
  <c r="A537" i="91"/>
  <c r="A536" i="91"/>
  <c r="A535" i="91"/>
  <c r="A534" i="91"/>
  <c r="A533" i="91"/>
  <c r="A532" i="91"/>
  <c r="A531" i="91"/>
  <c r="A530" i="91"/>
  <c r="A529" i="91"/>
  <c r="A528" i="91"/>
  <c r="A527" i="91"/>
  <c r="A526" i="91"/>
  <c r="A525" i="91"/>
  <c r="A524" i="91"/>
  <c r="A523" i="91"/>
  <c r="A522" i="91"/>
  <c r="A521" i="91"/>
  <c r="A520" i="91"/>
  <c r="A519" i="91"/>
  <c r="A518" i="91"/>
  <c r="A517" i="91"/>
  <c r="A516" i="91"/>
  <c r="A515" i="91"/>
  <c r="A514" i="91"/>
  <c r="A513" i="91"/>
  <c r="A512" i="91"/>
  <c r="A511" i="91"/>
  <c r="A510" i="91"/>
  <c r="A509" i="91"/>
  <c r="A508" i="91"/>
  <c r="A507" i="91"/>
  <c r="A506" i="91"/>
  <c r="A505" i="91"/>
  <c r="A504" i="91"/>
  <c r="A503" i="91"/>
  <c r="A502" i="91"/>
  <c r="A501" i="91"/>
  <c r="A500" i="91"/>
  <c r="A499" i="91"/>
  <c r="A498" i="91"/>
  <c r="A497" i="91"/>
  <c r="A496" i="91"/>
  <c r="A495" i="91"/>
  <c r="A494" i="91"/>
  <c r="A493" i="91"/>
  <c r="A492" i="91"/>
  <c r="A491" i="91"/>
  <c r="A490" i="91"/>
  <c r="A489" i="91"/>
  <c r="A488" i="91"/>
  <c r="A487" i="91"/>
  <c r="A486" i="91"/>
  <c r="A485" i="91"/>
  <c r="A484" i="91"/>
  <c r="A483" i="91"/>
  <c r="A482" i="91"/>
  <c r="A481" i="91"/>
  <c r="A480" i="91"/>
  <c r="A479" i="91"/>
  <c r="A478" i="91"/>
  <c r="A477" i="91"/>
  <c r="A476" i="91"/>
  <c r="A475" i="91"/>
  <c r="A474" i="91"/>
  <c r="A473" i="91"/>
  <c r="A472" i="91"/>
  <c r="A471" i="91"/>
  <c r="A470" i="91"/>
  <c r="A469" i="91"/>
  <c r="A468" i="91"/>
  <c r="A467" i="91"/>
  <c r="A466" i="91"/>
  <c r="A465" i="91"/>
  <c r="A464" i="91"/>
  <c r="A463" i="91"/>
  <c r="A462" i="91"/>
  <c r="A461" i="91"/>
  <c r="A460" i="91"/>
  <c r="A459" i="91"/>
  <c r="A458" i="91"/>
  <c r="A457" i="91"/>
  <c r="A456" i="91"/>
  <c r="A455" i="91"/>
  <c r="A454" i="91"/>
  <c r="A453" i="91"/>
  <c r="A452" i="91"/>
  <c r="A451" i="91"/>
  <c r="A450" i="91"/>
  <c r="A449" i="91"/>
  <c r="A448" i="91"/>
  <c r="A447" i="91"/>
  <c r="A446" i="91"/>
  <c r="A445" i="91"/>
  <c r="A444" i="91"/>
  <c r="A443" i="91"/>
  <c r="A442" i="91"/>
  <c r="A441" i="91"/>
  <c r="A440" i="91"/>
  <c r="A439" i="91"/>
  <c r="A438" i="91"/>
  <c r="A437" i="91"/>
  <c r="A436" i="91"/>
  <c r="A435" i="91"/>
  <c r="A434" i="91"/>
  <c r="A433" i="91"/>
  <c r="A432" i="91"/>
  <c r="A431" i="91"/>
  <c r="A430" i="91"/>
  <c r="A429" i="91"/>
  <c r="A428" i="91"/>
  <c r="A427" i="91"/>
  <c r="A426" i="91"/>
  <c r="A425" i="91"/>
  <c r="A424" i="91"/>
  <c r="A423" i="91"/>
  <c r="A422" i="91"/>
  <c r="A421" i="91"/>
  <c r="A420" i="91"/>
  <c r="A419" i="91"/>
  <c r="A418" i="91"/>
  <c r="A417" i="91"/>
  <c r="A416" i="91"/>
  <c r="A415" i="91"/>
  <c r="A414" i="91"/>
  <c r="A413" i="91"/>
  <c r="A412" i="91"/>
  <c r="A411" i="91"/>
  <c r="A410" i="91"/>
  <c r="A409" i="91"/>
  <c r="A408" i="91"/>
  <c r="A407" i="91"/>
  <c r="A406" i="91"/>
  <c r="A405" i="91"/>
  <c r="A404" i="91"/>
  <c r="A403" i="91"/>
  <c r="A402" i="91"/>
  <c r="A401" i="91"/>
  <c r="A400" i="91"/>
  <c r="A399" i="91"/>
  <c r="A398" i="91"/>
  <c r="A397" i="91"/>
  <c r="A396" i="91"/>
  <c r="A395" i="91"/>
  <c r="A394" i="91"/>
  <c r="A393" i="91"/>
  <c r="A392" i="91"/>
  <c r="A391" i="91"/>
  <c r="A390" i="91"/>
  <c r="A389" i="91"/>
  <c r="A388" i="91"/>
  <c r="A387" i="91"/>
  <c r="A386" i="91"/>
  <c r="A385" i="91"/>
  <c r="A384" i="91"/>
  <c r="A383" i="91"/>
  <c r="A382" i="91"/>
  <c r="A381" i="91"/>
  <c r="A380" i="91"/>
  <c r="A379" i="91"/>
  <c r="A378" i="91"/>
  <c r="A377" i="91"/>
  <c r="A376" i="91"/>
  <c r="A375" i="91"/>
  <c r="A374" i="91"/>
  <c r="A373" i="91"/>
  <c r="A372" i="91"/>
  <c r="A371" i="91"/>
  <c r="A370" i="91"/>
  <c r="A369" i="91"/>
  <c r="A368" i="91"/>
  <c r="A367" i="91"/>
  <c r="A366" i="91"/>
  <c r="A365" i="91"/>
  <c r="A364" i="91"/>
  <c r="A363" i="91"/>
  <c r="A362" i="91"/>
  <c r="A361" i="91"/>
  <c r="A360" i="91"/>
  <c r="A359" i="91"/>
  <c r="A358" i="91"/>
  <c r="A357" i="91"/>
  <c r="A356" i="91"/>
  <c r="A355" i="91"/>
  <c r="A354" i="91"/>
  <c r="A353" i="91"/>
  <c r="A352" i="91"/>
  <c r="A351" i="91"/>
  <c r="A350" i="91"/>
  <c r="A349" i="91"/>
  <c r="A348" i="91"/>
  <c r="A347" i="91"/>
  <c r="A346" i="91"/>
  <c r="A345" i="91"/>
  <c r="A344" i="91"/>
  <c r="A343" i="91"/>
  <c r="A342" i="91"/>
  <c r="A341" i="91"/>
  <c r="A340" i="91"/>
  <c r="A339" i="91"/>
  <c r="A338" i="91"/>
  <c r="A337" i="91"/>
  <c r="A336" i="91"/>
  <c r="A335" i="91"/>
  <c r="A334" i="91"/>
  <c r="A333" i="91"/>
  <c r="A332" i="91"/>
  <c r="A331" i="91"/>
  <c r="A330" i="91"/>
  <c r="A329" i="91"/>
  <c r="A328" i="91"/>
  <c r="A327" i="91"/>
  <c r="A326" i="91"/>
  <c r="A325" i="91"/>
  <c r="A324" i="91"/>
  <c r="A323" i="91"/>
  <c r="A322" i="91"/>
  <c r="A321" i="91"/>
  <c r="A320" i="91"/>
  <c r="A319" i="91"/>
  <c r="A318" i="91"/>
  <c r="A317" i="91"/>
  <c r="A316" i="91"/>
  <c r="A315" i="91"/>
  <c r="A314" i="91"/>
  <c r="A313" i="91"/>
  <c r="A312" i="91"/>
  <c r="A311" i="91"/>
  <c r="A310" i="91"/>
  <c r="A309" i="91"/>
  <c r="A308" i="91"/>
  <c r="A307" i="91"/>
  <c r="A306" i="91"/>
  <c r="A305" i="91"/>
  <c r="A304" i="91"/>
  <c r="A303" i="91"/>
  <c r="A302" i="91"/>
  <c r="A301" i="91"/>
  <c r="A300" i="91"/>
  <c r="A299" i="91"/>
  <c r="A298" i="91"/>
  <c r="A297" i="91"/>
  <c r="A296" i="91"/>
  <c r="A295" i="91"/>
  <c r="A294" i="91"/>
  <c r="A293" i="91"/>
  <c r="A292" i="91"/>
  <c r="A291" i="91"/>
  <c r="A290" i="91"/>
  <c r="A289" i="91"/>
  <c r="A288" i="91"/>
  <c r="A287" i="91"/>
  <c r="A286" i="91"/>
  <c r="A285" i="91"/>
  <c r="A284" i="91"/>
  <c r="A283" i="91"/>
  <c r="A282" i="91"/>
  <c r="A281" i="91"/>
  <c r="A280" i="91"/>
  <c r="A279" i="91"/>
  <c r="A278" i="91"/>
  <c r="A277" i="91"/>
  <c r="A276" i="91"/>
  <c r="A275" i="91"/>
  <c r="A274" i="91"/>
  <c r="A273" i="91"/>
  <c r="A272" i="91"/>
  <c r="A271" i="91"/>
  <c r="A270" i="91"/>
  <c r="A269" i="91"/>
  <c r="A268" i="91"/>
  <c r="A267" i="91"/>
  <c r="A266" i="91"/>
  <c r="A265" i="91"/>
  <c r="A264" i="91"/>
  <c r="A263" i="91"/>
  <c r="A262" i="91"/>
  <c r="A261" i="91"/>
  <c r="A260" i="91"/>
  <c r="A259" i="91"/>
  <c r="A258" i="91"/>
  <c r="A257" i="91"/>
  <c r="A256" i="91"/>
  <c r="A255" i="91"/>
  <c r="A254" i="91"/>
  <c r="A253" i="91"/>
  <c r="A252" i="91"/>
  <c r="A251" i="91"/>
  <c r="A250" i="91"/>
  <c r="A249" i="91"/>
  <c r="A248" i="91"/>
  <c r="A247" i="91"/>
  <c r="A246" i="91"/>
  <c r="A245" i="91"/>
  <c r="A244" i="91"/>
  <c r="A243" i="91"/>
  <c r="A242" i="91"/>
  <c r="A241" i="91"/>
  <c r="A240" i="91"/>
  <c r="A239" i="91"/>
  <c r="A238" i="91"/>
  <c r="A237" i="91"/>
  <c r="A236" i="91"/>
  <c r="A235" i="91"/>
  <c r="A234" i="91"/>
  <c r="A233" i="91"/>
  <c r="A232" i="91"/>
  <c r="A231" i="91"/>
  <c r="A230" i="91"/>
  <c r="A229" i="91"/>
  <c r="A228" i="91"/>
  <c r="A227" i="91"/>
  <c r="A226" i="91"/>
  <c r="A225" i="91"/>
  <c r="A224" i="91"/>
  <c r="A223" i="91"/>
  <c r="A222" i="91"/>
  <c r="A221" i="91"/>
  <c r="A220" i="91"/>
  <c r="A219" i="91"/>
  <c r="A218" i="91"/>
  <c r="A217" i="91"/>
  <c r="A216" i="91"/>
  <c r="A215" i="91"/>
  <c r="A214" i="91"/>
  <c r="A213" i="91"/>
  <c r="A212" i="91"/>
  <c r="A211" i="91"/>
  <c r="A210" i="91"/>
  <c r="A209" i="91"/>
  <c r="A208" i="91"/>
  <c r="A207" i="91"/>
  <c r="A206" i="91"/>
  <c r="A205" i="91"/>
  <c r="A204" i="91"/>
  <c r="A203" i="91"/>
  <c r="A202" i="91"/>
  <c r="A201" i="91"/>
  <c r="A200" i="91"/>
  <c r="A199" i="91"/>
  <c r="A198" i="91"/>
  <c r="A197" i="91"/>
  <c r="A196" i="91"/>
  <c r="A195" i="91"/>
  <c r="A194" i="91"/>
  <c r="A193" i="91"/>
  <c r="A192" i="91"/>
  <c r="A191" i="91"/>
  <c r="A190" i="91"/>
  <c r="A189" i="91"/>
  <c r="A188" i="91"/>
  <c r="A187" i="91"/>
  <c r="A186" i="91"/>
  <c r="A185" i="91"/>
  <c r="A184" i="91"/>
  <c r="A183" i="91"/>
  <c r="A182" i="91"/>
  <c r="A181" i="91"/>
  <c r="A180" i="91"/>
  <c r="A179" i="91"/>
  <c r="A178" i="91"/>
  <c r="A177" i="91"/>
  <c r="A176" i="91"/>
  <c r="A175" i="91"/>
  <c r="A174" i="91"/>
  <c r="A173" i="91"/>
  <c r="A172" i="91"/>
  <c r="A171" i="91"/>
  <c r="A170" i="91"/>
  <c r="A169" i="91"/>
  <c r="A168" i="91"/>
  <c r="A167" i="91"/>
  <c r="A166" i="91"/>
  <c r="A165" i="91"/>
  <c r="A164" i="91"/>
  <c r="A163" i="91"/>
  <c r="A162" i="91"/>
  <c r="A161" i="91"/>
  <c r="A160" i="91"/>
  <c r="A159" i="91"/>
  <c r="A158" i="91"/>
  <c r="A157" i="91"/>
  <c r="A156" i="91"/>
  <c r="A155" i="91"/>
  <c r="A154" i="91"/>
  <c r="A153" i="91"/>
  <c r="A152" i="91"/>
  <c r="A151" i="91"/>
  <c r="A150" i="91"/>
  <c r="A149" i="91"/>
  <c r="A148" i="91"/>
  <c r="A147" i="91"/>
  <c r="A146" i="91"/>
  <c r="A145" i="91"/>
  <c r="A144" i="91"/>
  <c r="A143" i="91"/>
  <c r="A142" i="91"/>
  <c r="A141" i="91"/>
  <c r="A140" i="91"/>
  <c r="A139" i="91"/>
  <c r="A138" i="91"/>
  <c r="A137" i="91"/>
  <c r="A136" i="91"/>
  <c r="A135" i="91"/>
  <c r="A134" i="91"/>
  <c r="A133" i="91"/>
  <c r="A132" i="91"/>
  <c r="A131" i="91"/>
  <c r="A130" i="91"/>
  <c r="A129" i="91"/>
  <c r="A128" i="91"/>
  <c r="A127" i="91"/>
  <c r="A126" i="91"/>
  <c r="A125" i="91"/>
  <c r="A124" i="91"/>
  <c r="A123" i="91"/>
  <c r="A122" i="91"/>
  <c r="A121" i="91"/>
  <c r="A120" i="91"/>
  <c r="A119" i="91"/>
  <c r="A118" i="91"/>
  <c r="A117" i="91"/>
  <c r="A116" i="91"/>
  <c r="A115" i="91"/>
  <c r="A114" i="91"/>
  <c r="A113" i="91"/>
  <c r="A112" i="91"/>
  <c r="A111" i="91"/>
  <c r="A110" i="91"/>
  <c r="A109" i="91"/>
  <c r="A108" i="91"/>
  <c r="A107" i="91"/>
  <c r="A106" i="91"/>
  <c r="A105" i="91"/>
  <c r="A104" i="91"/>
  <c r="A103" i="91"/>
  <c r="A102" i="91"/>
  <c r="A101" i="91"/>
  <c r="A100" i="91"/>
  <c r="A99" i="91"/>
  <c r="A98" i="91"/>
  <c r="A97" i="91"/>
  <c r="A96" i="91"/>
  <c r="A95" i="91"/>
  <c r="A94" i="91"/>
  <c r="A93" i="91"/>
  <c r="A92" i="91"/>
  <c r="A91" i="91"/>
  <c r="A90" i="91"/>
  <c r="A89" i="91"/>
  <c r="A88" i="91"/>
  <c r="A87" i="91"/>
  <c r="A86" i="91"/>
  <c r="A85" i="91"/>
  <c r="A84" i="91"/>
  <c r="A83" i="91"/>
  <c r="A82" i="91"/>
  <c r="A81" i="91"/>
  <c r="A80" i="91"/>
  <c r="A79" i="91"/>
  <c r="A78" i="91"/>
  <c r="A77" i="91"/>
  <c r="A76" i="91"/>
  <c r="A75" i="91"/>
  <c r="A74" i="91"/>
  <c r="A73" i="91"/>
  <c r="A72" i="91"/>
  <c r="A71" i="91"/>
  <c r="A70" i="91"/>
  <c r="A69" i="91"/>
  <c r="A68" i="91"/>
  <c r="A67" i="91"/>
  <c r="A66" i="91"/>
  <c r="A65" i="91"/>
  <c r="A64" i="91"/>
  <c r="A63" i="91"/>
  <c r="A62" i="91"/>
  <c r="A61" i="91"/>
  <c r="A60" i="91"/>
  <c r="A59" i="91"/>
  <c r="A58" i="91"/>
  <c r="A57" i="91"/>
  <c r="A56" i="91"/>
  <c r="A55" i="91"/>
  <c r="A54" i="91"/>
  <c r="A53" i="91"/>
  <c r="A52" i="91"/>
  <c r="A51" i="91"/>
  <c r="A50" i="91"/>
  <c r="A49" i="91"/>
  <c r="A48" i="91"/>
  <c r="A47" i="91"/>
  <c r="A46" i="91"/>
  <c r="A45" i="91"/>
  <c r="A44" i="91"/>
  <c r="A43" i="91"/>
  <c r="A42" i="91"/>
  <c r="A41" i="91"/>
  <c r="A40" i="91"/>
  <c r="A39" i="91"/>
  <c r="A38" i="91"/>
  <c r="A37" i="91"/>
  <c r="A36" i="91"/>
  <c r="A35" i="91"/>
  <c r="A34" i="91"/>
  <c r="A33" i="91"/>
  <c r="A32" i="91"/>
  <c r="A31" i="91"/>
  <c r="A30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641" i="90"/>
  <c r="A640" i="90"/>
  <c r="A639" i="90"/>
  <c r="A638" i="90"/>
  <c r="A637" i="90"/>
  <c r="A636" i="90"/>
  <c r="A635" i="90"/>
  <c r="A634" i="90"/>
  <c r="A633" i="90"/>
  <c r="A632" i="90"/>
  <c r="A631" i="90"/>
  <c r="A630" i="90"/>
  <c r="A629" i="90"/>
  <c r="A628" i="90"/>
  <c r="A627" i="90"/>
  <c r="A626" i="90"/>
  <c r="A625" i="90"/>
  <c r="A624" i="90"/>
  <c r="A623" i="90"/>
  <c r="A622" i="90"/>
  <c r="A621" i="90"/>
  <c r="A620" i="90"/>
  <c r="A619" i="90"/>
  <c r="A618" i="90"/>
  <c r="A617" i="90"/>
  <c r="A616" i="90"/>
  <c r="A615" i="90"/>
  <c r="A614" i="90"/>
  <c r="A613" i="90"/>
  <c r="A612" i="90"/>
  <c r="A611" i="90"/>
  <c r="A610" i="90"/>
  <c r="A609" i="90"/>
  <c r="A608" i="90"/>
  <c r="A607" i="90"/>
  <c r="A606" i="90"/>
  <c r="A605" i="90"/>
  <c r="A604" i="90"/>
  <c r="A603" i="90"/>
  <c r="A602" i="90"/>
  <c r="A601" i="90"/>
  <c r="A600" i="90"/>
  <c r="A599" i="90"/>
  <c r="A598" i="90"/>
  <c r="A597" i="90"/>
  <c r="A596" i="90"/>
  <c r="A595" i="90"/>
  <c r="A594" i="90"/>
  <c r="A593" i="90"/>
  <c r="A592" i="90"/>
  <c r="A591" i="90"/>
  <c r="A590" i="90"/>
  <c r="A589" i="90"/>
  <c r="A588" i="90"/>
  <c r="A587" i="90"/>
  <c r="A586" i="90"/>
  <c r="A585" i="90"/>
  <c r="A584" i="90"/>
  <c r="A583" i="90"/>
  <c r="A582" i="90"/>
  <c r="A581" i="90"/>
  <c r="A580" i="90"/>
  <c r="A579" i="90"/>
  <c r="A578" i="90"/>
  <c r="A577" i="90"/>
  <c r="A576" i="90"/>
  <c r="A575" i="90"/>
  <c r="A574" i="90"/>
  <c r="A573" i="90"/>
  <c r="A572" i="90"/>
  <c r="A571" i="90"/>
  <c r="A570" i="90"/>
  <c r="A569" i="90"/>
  <c r="A568" i="90"/>
  <c r="A567" i="90"/>
  <c r="A566" i="90"/>
  <c r="A565" i="90"/>
  <c r="A564" i="90"/>
  <c r="A563" i="90"/>
  <c r="A562" i="90"/>
  <c r="A561" i="90"/>
  <c r="A560" i="90"/>
  <c r="A559" i="90"/>
  <c r="A558" i="90"/>
  <c r="A557" i="90"/>
  <c r="A556" i="90"/>
  <c r="A555" i="90"/>
  <c r="A554" i="90"/>
  <c r="A553" i="90"/>
  <c r="A552" i="90"/>
  <c r="A551" i="90"/>
  <c r="A550" i="90"/>
  <c r="A549" i="90"/>
  <c r="A548" i="90"/>
  <c r="A547" i="90"/>
  <c r="A546" i="90"/>
  <c r="A545" i="90"/>
  <c r="A544" i="90"/>
  <c r="A543" i="90"/>
  <c r="A542" i="90"/>
  <c r="A541" i="90"/>
  <c r="A540" i="90"/>
  <c r="A539" i="90"/>
  <c r="A538" i="90"/>
  <c r="A537" i="90"/>
  <c r="A536" i="90"/>
  <c r="A535" i="90"/>
  <c r="A534" i="90"/>
  <c r="A533" i="90"/>
  <c r="A532" i="90"/>
  <c r="A531" i="90"/>
  <c r="A530" i="90"/>
  <c r="A529" i="90"/>
  <c r="A528" i="90"/>
  <c r="A527" i="90"/>
  <c r="A526" i="90"/>
  <c r="A525" i="90"/>
  <c r="A524" i="90"/>
  <c r="A523" i="90"/>
  <c r="A522" i="90"/>
  <c r="A521" i="90"/>
  <c r="A520" i="90"/>
  <c r="A519" i="90"/>
  <c r="A518" i="90"/>
  <c r="A517" i="90"/>
  <c r="A516" i="90"/>
  <c r="A515" i="90"/>
  <c r="A514" i="90"/>
  <c r="A513" i="90"/>
  <c r="A512" i="90"/>
  <c r="A511" i="90"/>
  <c r="A510" i="90"/>
  <c r="A509" i="90"/>
  <c r="A508" i="90"/>
  <c r="A507" i="90"/>
  <c r="A506" i="90"/>
  <c r="A505" i="90"/>
  <c r="A504" i="90"/>
  <c r="A503" i="90"/>
  <c r="A502" i="90"/>
  <c r="A501" i="90"/>
  <c r="A500" i="90"/>
  <c r="A499" i="90"/>
  <c r="A498" i="90"/>
  <c r="A497" i="90"/>
  <c r="A496" i="90"/>
  <c r="A495" i="90"/>
  <c r="A494" i="90"/>
  <c r="A493" i="90"/>
  <c r="A492" i="90"/>
  <c r="A491" i="90"/>
  <c r="A490" i="90"/>
  <c r="A489" i="90"/>
  <c r="A488" i="90"/>
  <c r="A487" i="90"/>
  <c r="A486" i="90"/>
  <c r="A485" i="90"/>
  <c r="A484" i="90"/>
  <c r="A483" i="90"/>
  <c r="A482" i="90"/>
  <c r="A481" i="90"/>
  <c r="A480" i="90"/>
  <c r="A479" i="90"/>
  <c r="A478" i="90"/>
  <c r="A477" i="90"/>
  <c r="A476" i="90"/>
  <c r="A475" i="90"/>
  <c r="A474" i="90"/>
  <c r="A473" i="90"/>
  <c r="A472" i="90"/>
  <c r="A471" i="90"/>
  <c r="A470" i="90"/>
  <c r="A469" i="90"/>
  <c r="A468" i="90"/>
  <c r="A467" i="90"/>
  <c r="A466" i="90"/>
  <c r="A465" i="90"/>
  <c r="A464" i="90"/>
  <c r="A463" i="90"/>
  <c r="A462" i="90"/>
  <c r="A461" i="90"/>
  <c r="A460" i="90"/>
  <c r="A459" i="90"/>
  <c r="A458" i="90"/>
  <c r="A457" i="90"/>
  <c r="A456" i="90"/>
  <c r="A455" i="90"/>
  <c r="A454" i="90"/>
  <c r="A453" i="90"/>
  <c r="A452" i="90"/>
  <c r="A451" i="90"/>
  <c r="A450" i="90"/>
  <c r="A449" i="90"/>
  <c r="A448" i="90"/>
  <c r="A447" i="90"/>
  <c r="A446" i="90"/>
  <c r="A445" i="90"/>
  <c r="A444" i="90"/>
  <c r="A443" i="90"/>
  <c r="A442" i="90"/>
  <c r="A441" i="90"/>
  <c r="A440" i="90"/>
  <c r="A439" i="90"/>
  <c r="A438" i="90"/>
  <c r="A437" i="90"/>
  <c r="A436" i="90"/>
  <c r="A435" i="90"/>
  <c r="A434" i="90"/>
  <c r="A433" i="90"/>
  <c r="A432" i="90"/>
  <c r="A431" i="90"/>
  <c r="A430" i="90"/>
  <c r="A429" i="90"/>
  <c r="A428" i="90"/>
  <c r="A427" i="90"/>
  <c r="A426" i="90"/>
  <c r="A425" i="90"/>
  <c r="A424" i="90"/>
  <c r="A423" i="90"/>
  <c r="A422" i="90"/>
  <c r="A421" i="90"/>
  <c r="A420" i="90"/>
  <c r="A419" i="90"/>
  <c r="A418" i="90"/>
  <c r="A417" i="90"/>
  <c r="A416" i="90"/>
  <c r="A415" i="90"/>
  <c r="A414" i="90"/>
  <c r="A413" i="90"/>
  <c r="A412" i="90"/>
  <c r="A411" i="90"/>
  <c r="A410" i="90"/>
  <c r="A409" i="90"/>
  <c r="A408" i="90"/>
  <c r="A407" i="90"/>
  <c r="A406" i="90"/>
  <c r="A405" i="90"/>
  <c r="A404" i="90"/>
  <c r="A403" i="90"/>
  <c r="A402" i="90"/>
  <c r="A401" i="90"/>
  <c r="A400" i="90"/>
  <c r="A399" i="90"/>
  <c r="A398" i="90"/>
  <c r="A397" i="90"/>
  <c r="A396" i="90"/>
  <c r="A395" i="90"/>
  <c r="A394" i="90"/>
  <c r="A393" i="90"/>
  <c r="A392" i="90"/>
  <c r="A391" i="90"/>
  <c r="A390" i="90"/>
  <c r="A389" i="90"/>
  <c r="A388" i="90"/>
  <c r="A387" i="90"/>
  <c r="A386" i="90"/>
  <c r="A385" i="90"/>
  <c r="A384" i="90"/>
  <c r="A383" i="90"/>
  <c r="A382" i="90"/>
  <c r="A381" i="90"/>
  <c r="A380" i="90"/>
  <c r="A379" i="90"/>
  <c r="A378" i="90"/>
  <c r="A377" i="90"/>
  <c r="A376" i="90"/>
  <c r="A375" i="90"/>
  <c r="A374" i="90"/>
  <c r="A373" i="90"/>
  <c r="A372" i="90"/>
  <c r="A371" i="90"/>
  <c r="A370" i="90"/>
  <c r="A369" i="90"/>
  <c r="A368" i="90"/>
  <c r="A367" i="90"/>
  <c r="A366" i="90"/>
  <c r="A365" i="90"/>
  <c r="A364" i="90"/>
  <c r="A363" i="90"/>
  <c r="A362" i="90"/>
  <c r="A361" i="90"/>
  <c r="A360" i="90"/>
  <c r="A359" i="90"/>
  <c r="A358" i="90"/>
  <c r="A357" i="90"/>
  <c r="A356" i="90"/>
  <c r="A355" i="90"/>
  <c r="A354" i="90"/>
  <c r="A353" i="90"/>
  <c r="A352" i="90"/>
  <c r="A351" i="90"/>
  <c r="A350" i="90"/>
  <c r="A349" i="90"/>
  <c r="A348" i="90"/>
  <c r="A347" i="90"/>
  <c r="A346" i="90"/>
  <c r="A345" i="90"/>
  <c r="A344" i="90"/>
  <c r="A343" i="90"/>
  <c r="A342" i="90"/>
  <c r="A341" i="90"/>
  <c r="A340" i="90"/>
  <c r="A339" i="90"/>
  <c r="A338" i="90"/>
  <c r="A337" i="90"/>
  <c r="A336" i="90"/>
  <c r="A335" i="90"/>
  <c r="A334" i="90"/>
  <c r="A333" i="90"/>
  <c r="A332" i="90"/>
  <c r="A331" i="90"/>
  <c r="A330" i="90"/>
  <c r="A329" i="90"/>
  <c r="A328" i="90"/>
  <c r="A327" i="90"/>
  <c r="A326" i="90"/>
  <c r="A325" i="90"/>
  <c r="A324" i="90"/>
  <c r="A323" i="90"/>
  <c r="A322" i="90"/>
  <c r="A321" i="90"/>
  <c r="A320" i="90"/>
  <c r="A319" i="90"/>
  <c r="A318" i="90"/>
  <c r="A317" i="90"/>
  <c r="A316" i="90"/>
  <c r="A315" i="90"/>
  <c r="A314" i="90"/>
  <c r="A313" i="90"/>
  <c r="A312" i="90"/>
  <c r="A311" i="90"/>
  <c r="A310" i="90"/>
  <c r="A309" i="90"/>
  <c r="A308" i="90"/>
  <c r="A307" i="90"/>
  <c r="A306" i="90"/>
  <c r="A305" i="90"/>
  <c r="A304" i="90"/>
  <c r="A303" i="90"/>
  <c r="A302" i="90"/>
  <c r="A301" i="90"/>
  <c r="A300" i="90"/>
  <c r="A299" i="90"/>
  <c r="A298" i="90"/>
  <c r="A297" i="90"/>
  <c r="A296" i="90"/>
  <c r="A295" i="90"/>
  <c r="A294" i="90"/>
  <c r="A293" i="90"/>
  <c r="A292" i="90"/>
  <c r="A291" i="90"/>
  <c r="A290" i="90"/>
  <c r="A289" i="90"/>
  <c r="A288" i="90"/>
  <c r="A287" i="90"/>
  <c r="A286" i="90"/>
  <c r="A285" i="90"/>
  <c r="A284" i="90"/>
  <c r="A283" i="90"/>
  <c r="A282" i="90"/>
  <c r="A281" i="90"/>
  <c r="A280" i="90"/>
  <c r="A279" i="90"/>
  <c r="A278" i="90"/>
  <c r="A277" i="90"/>
  <c r="A276" i="90"/>
  <c r="A275" i="90"/>
  <c r="A274" i="90"/>
  <c r="A273" i="90"/>
  <c r="A272" i="90"/>
  <c r="A271" i="90"/>
  <c r="A270" i="90"/>
  <c r="A269" i="90"/>
  <c r="A268" i="90"/>
  <c r="A267" i="90"/>
  <c r="A266" i="90"/>
  <c r="A265" i="90"/>
  <c r="A264" i="90"/>
  <c r="A263" i="90"/>
  <c r="A262" i="90"/>
  <c r="A261" i="90"/>
  <c r="A260" i="90"/>
  <c r="A259" i="90"/>
  <c r="A258" i="90"/>
  <c r="A257" i="90"/>
  <c r="A256" i="90"/>
  <c r="A255" i="90"/>
  <c r="A254" i="90"/>
  <c r="A253" i="90"/>
  <c r="A252" i="90"/>
  <c r="A251" i="90"/>
  <c r="A250" i="90"/>
  <c r="A249" i="90"/>
  <c r="A248" i="90"/>
  <c r="A247" i="90"/>
  <c r="A246" i="90"/>
  <c r="A245" i="90"/>
  <c r="A244" i="90"/>
  <c r="A243" i="90"/>
  <c r="A242" i="90"/>
  <c r="A241" i="90"/>
  <c r="A240" i="90"/>
  <c r="A239" i="90"/>
  <c r="A238" i="90"/>
  <c r="A237" i="90"/>
  <c r="A236" i="90"/>
  <c r="A235" i="90"/>
  <c r="A234" i="90"/>
  <c r="A233" i="90"/>
  <c r="A232" i="90"/>
  <c r="A231" i="90"/>
  <c r="A230" i="90"/>
  <c r="A229" i="90"/>
  <c r="A228" i="90"/>
  <c r="A227" i="90"/>
  <c r="A226" i="90"/>
  <c r="A225" i="90"/>
  <c r="A224" i="90"/>
  <c r="A223" i="90"/>
  <c r="A222" i="90"/>
  <c r="A221" i="90"/>
  <c r="A220" i="90"/>
  <c r="A219" i="90"/>
  <c r="A218" i="90"/>
  <c r="A217" i="90"/>
  <c r="A216" i="90"/>
  <c r="A215" i="90"/>
  <c r="A214" i="90"/>
  <c r="A213" i="90"/>
  <c r="A212" i="90"/>
  <c r="A211" i="90"/>
  <c r="A210" i="90"/>
  <c r="A209" i="90"/>
  <c r="A208" i="90"/>
  <c r="A207" i="90"/>
  <c r="A206" i="90"/>
  <c r="A205" i="90"/>
  <c r="A204" i="90"/>
  <c r="A203" i="90"/>
  <c r="A202" i="90"/>
  <c r="A201" i="90"/>
  <c r="A200" i="90"/>
  <c r="A199" i="90"/>
  <c r="A198" i="90"/>
  <c r="A197" i="90"/>
  <c r="A196" i="90"/>
  <c r="A195" i="90"/>
  <c r="A194" i="90"/>
  <c r="A193" i="90"/>
  <c r="A192" i="90"/>
  <c r="A191" i="90"/>
  <c r="A190" i="90"/>
  <c r="A189" i="90"/>
  <c r="A188" i="90"/>
  <c r="A187" i="90"/>
  <c r="A186" i="90"/>
  <c r="A185" i="90"/>
  <c r="A184" i="90"/>
  <c r="A183" i="90"/>
  <c r="A182" i="90"/>
  <c r="A181" i="90"/>
  <c r="A180" i="90"/>
  <c r="A179" i="90"/>
  <c r="A178" i="90"/>
  <c r="A177" i="90"/>
  <c r="A176" i="90"/>
  <c r="A175" i="90"/>
  <c r="A174" i="90"/>
  <c r="A173" i="90"/>
  <c r="A172" i="90"/>
  <c r="A171" i="90"/>
  <c r="A170" i="90"/>
  <c r="A169" i="90"/>
  <c r="A168" i="90"/>
  <c r="A167" i="90"/>
  <c r="A166" i="90"/>
  <c r="A165" i="90"/>
  <c r="A164" i="90"/>
  <c r="A163" i="90"/>
  <c r="A162" i="90"/>
  <c r="A161" i="90"/>
  <c r="A160" i="90"/>
  <c r="A159" i="90"/>
  <c r="A158" i="90"/>
  <c r="A157" i="90"/>
  <c r="A156" i="90"/>
  <c r="A155" i="90"/>
  <c r="A154" i="90"/>
  <c r="A153" i="90"/>
  <c r="A152" i="90"/>
  <c r="A151" i="90"/>
  <c r="A150" i="90"/>
  <c r="A149" i="90"/>
  <c r="A148" i="90"/>
  <c r="A147" i="90"/>
  <c r="A146" i="90"/>
  <c r="A145" i="90"/>
  <c r="A144" i="90"/>
  <c r="A143" i="90"/>
  <c r="A142" i="90"/>
  <c r="A141" i="90"/>
  <c r="A140" i="90"/>
  <c r="A139" i="90"/>
  <c r="A138" i="90"/>
  <c r="A137" i="90"/>
  <c r="A136" i="90"/>
  <c r="A135" i="90"/>
  <c r="A134" i="90"/>
  <c r="A133" i="90"/>
  <c r="A132" i="90"/>
  <c r="A131" i="90"/>
  <c r="A130" i="90"/>
  <c r="A129" i="90"/>
  <c r="A128" i="90"/>
  <c r="A127" i="90"/>
  <c r="A126" i="90"/>
  <c r="A125" i="90"/>
  <c r="A124" i="90"/>
  <c r="A123" i="90"/>
  <c r="A122" i="90"/>
  <c r="A121" i="90"/>
  <c r="A120" i="90"/>
  <c r="A119" i="90"/>
  <c r="A118" i="90"/>
  <c r="A117" i="90"/>
  <c r="A116" i="90"/>
  <c r="A115" i="90"/>
  <c r="A114" i="90"/>
  <c r="A113" i="90"/>
  <c r="A112" i="90"/>
  <c r="A111" i="90"/>
  <c r="A110" i="90"/>
  <c r="A109" i="90"/>
  <c r="A108" i="90"/>
  <c r="A107" i="90"/>
  <c r="A106" i="90"/>
  <c r="A105" i="90"/>
  <c r="A104" i="90"/>
  <c r="A103" i="90"/>
  <c r="A102" i="90"/>
  <c r="A101" i="90"/>
  <c r="A100" i="90"/>
  <c r="A99" i="90"/>
  <c r="A98" i="90"/>
  <c r="A97" i="90"/>
  <c r="A96" i="90"/>
  <c r="A95" i="90"/>
  <c r="A94" i="90"/>
  <c r="A93" i="90"/>
  <c r="A92" i="90"/>
  <c r="A91" i="90"/>
  <c r="A90" i="90"/>
  <c r="A89" i="90"/>
  <c r="A88" i="90"/>
  <c r="A87" i="90"/>
  <c r="A86" i="90"/>
  <c r="A85" i="90"/>
  <c r="A84" i="90"/>
  <c r="A83" i="90"/>
  <c r="A82" i="90"/>
  <c r="A81" i="90"/>
  <c r="A80" i="90"/>
  <c r="A79" i="90"/>
  <c r="A78" i="90"/>
  <c r="A77" i="90"/>
  <c r="A76" i="90"/>
  <c r="A75" i="90"/>
  <c r="A74" i="90"/>
  <c r="A73" i="90"/>
  <c r="A72" i="90"/>
  <c r="A71" i="90"/>
  <c r="A70" i="90"/>
  <c r="A69" i="90"/>
  <c r="A68" i="90"/>
  <c r="A67" i="90"/>
  <c r="A66" i="90"/>
  <c r="A65" i="90"/>
  <c r="A64" i="90"/>
  <c r="A63" i="90"/>
  <c r="A62" i="90"/>
  <c r="A61" i="90"/>
  <c r="A60" i="90"/>
  <c r="A59" i="90"/>
  <c r="A58" i="90"/>
  <c r="A57" i="90"/>
  <c r="A56" i="90"/>
  <c r="A55" i="90"/>
  <c r="A54" i="90"/>
  <c r="A53" i="90"/>
  <c r="A52" i="90"/>
  <c r="A51" i="90"/>
  <c r="A50" i="90"/>
  <c r="A49" i="90"/>
  <c r="A48" i="90"/>
  <c r="A47" i="90"/>
  <c r="A46" i="90"/>
  <c r="A45" i="90"/>
  <c r="A44" i="90"/>
  <c r="A43" i="90"/>
  <c r="A42" i="90"/>
  <c r="A41" i="90"/>
  <c r="A40" i="90"/>
  <c r="A39" i="90"/>
  <c r="A38" i="90"/>
  <c r="A37" i="90"/>
  <c r="A36" i="90"/>
  <c r="A35" i="90"/>
  <c r="A34" i="90"/>
  <c r="A33" i="90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641" i="89"/>
  <c r="A640" i="89"/>
  <c r="A639" i="89"/>
  <c r="A638" i="89"/>
  <c r="A637" i="89"/>
  <c r="A636" i="89"/>
  <c r="A635" i="89"/>
  <c r="A634" i="89"/>
  <c r="A633" i="89"/>
  <c r="A632" i="89"/>
  <c r="A631" i="89"/>
  <c r="A630" i="89"/>
  <c r="A629" i="89"/>
  <c r="A628" i="89"/>
  <c r="A627" i="89"/>
  <c r="A626" i="89"/>
  <c r="A625" i="89"/>
  <c r="A624" i="89"/>
  <c r="A623" i="89"/>
  <c r="A622" i="89"/>
  <c r="A621" i="89"/>
  <c r="A620" i="89"/>
  <c r="A619" i="89"/>
  <c r="A618" i="89"/>
  <c r="A617" i="89"/>
  <c r="A616" i="89"/>
  <c r="A615" i="89"/>
  <c r="A614" i="89"/>
  <c r="A613" i="89"/>
  <c r="A612" i="89"/>
  <c r="A611" i="89"/>
  <c r="A610" i="89"/>
  <c r="A609" i="89"/>
  <c r="A608" i="89"/>
  <c r="A607" i="89"/>
  <c r="A606" i="89"/>
  <c r="A605" i="89"/>
  <c r="A604" i="89"/>
  <c r="A603" i="89"/>
  <c r="A602" i="89"/>
  <c r="A601" i="89"/>
  <c r="A600" i="89"/>
  <c r="A599" i="89"/>
  <c r="A598" i="89"/>
  <c r="A597" i="89"/>
  <c r="A596" i="89"/>
  <c r="A595" i="89"/>
  <c r="A594" i="89"/>
  <c r="A593" i="89"/>
  <c r="A592" i="89"/>
  <c r="A591" i="89"/>
  <c r="A590" i="89"/>
  <c r="A589" i="89"/>
  <c r="A588" i="89"/>
  <c r="A587" i="89"/>
  <c r="A586" i="89"/>
  <c r="A585" i="89"/>
  <c r="A584" i="89"/>
  <c r="A583" i="89"/>
  <c r="A582" i="89"/>
  <c r="A581" i="89"/>
  <c r="A580" i="89"/>
  <c r="A579" i="89"/>
  <c r="A578" i="89"/>
  <c r="A577" i="89"/>
  <c r="A576" i="89"/>
  <c r="A575" i="89"/>
  <c r="A574" i="89"/>
  <c r="A573" i="89"/>
  <c r="A572" i="89"/>
  <c r="A571" i="89"/>
  <c r="A570" i="89"/>
  <c r="A569" i="89"/>
  <c r="A568" i="89"/>
  <c r="A567" i="89"/>
  <c r="A566" i="89"/>
  <c r="A565" i="89"/>
  <c r="A564" i="89"/>
  <c r="A563" i="89"/>
  <c r="A562" i="89"/>
  <c r="A561" i="89"/>
  <c r="A560" i="89"/>
  <c r="A559" i="89"/>
  <c r="A558" i="89"/>
  <c r="A557" i="89"/>
  <c r="A556" i="89"/>
  <c r="A555" i="89"/>
  <c r="A554" i="89"/>
  <c r="A553" i="89"/>
  <c r="A552" i="89"/>
  <c r="A551" i="89"/>
  <c r="A550" i="89"/>
  <c r="A549" i="89"/>
  <c r="A548" i="89"/>
  <c r="A547" i="89"/>
  <c r="A546" i="89"/>
  <c r="A545" i="89"/>
  <c r="A544" i="89"/>
  <c r="A543" i="89"/>
  <c r="A542" i="89"/>
  <c r="A541" i="89"/>
  <c r="A540" i="89"/>
  <c r="A539" i="89"/>
  <c r="A538" i="89"/>
  <c r="A537" i="89"/>
  <c r="A536" i="89"/>
  <c r="A535" i="89"/>
  <c r="A534" i="89"/>
  <c r="A533" i="89"/>
  <c r="A532" i="89"/>
  <c r="A531" i="89"/>
  <c r="A530" i="89"/>
  <c r="A529" i="89"/>
  <c r="A528" i="89"/>
  <c r="A527" i="89"/>
  <c r="A526" i="89"/>
  <c r="A525" i="89"/>
  <c r="A524" i="89"/>
  <c r="A523" i="89"/>
  <c r="A522" i="89"/>
  <c r="A521" i="89"/>
  <c r="A520" i="89"/>
  <c r="A519" i="89"/>
  <c r="A518" i="89"/>
  <c r="A517" i="89"/>
  <c r="A516" i="89"/>
  <c r="A515" i="89"/>
  <c r="A514" i="89"/>
  <c r="A513" i="89"/>
  <c r="A512" i="89"/>
  <c r="A511" i="89"/>
  <c r="A510" i="89"/>
  <c r="A509" i="89"/>
  <c r="A508" i="89"/>
  <c r="A507" i="89"/>
  <c r="A506" i="89"/>
  <c r="A505" i="89"/>
  <c r="A504" i="89"/>
  <c r="A503" i="89"/>
  <c r="A502" i="89"/>
  <c r="A501" i="89"/>
  <c r="A500" i="89"/>
  <c r="A499" i="89"/>
  <c r="A498" i="89"/>
  <c r="A497" i="89"/>
  <c r="A496" i="89"/>
  <c r="A495" i="89"/>
  <c r="A494" i="89"/>
  <c r="A493" i="89"/>
  <c r="A492" i="89"/>
  <c r="A491" i="89"/>
  <c r="A490" i="89"/>
  <c r="A489" i="89"/>
  <c r="A488" i="89"/>
  <c r="A487" i="89"/>
  <c r="A486" i="89"/>
  <c r="A485" i="89"/>
  <c r="A484" i="89"/>
  <c r="A483" i="89"/>
  <c r="A482" i="89"/>
  <c r="A481" i="89"/>
  <c r="A480" i="89"/>
  <c r="A479" i="89"/>
  <c r="A478" i="89"/>
  <c r="A477" i="89"/>
  <c r="A476" i="89"/>
  <c r="A475" i="89"/>
  <c r="A474" i="89"/>
  <c r="A473" i="89"/>
  <c r="A472" i="89"/>
  <c r="A471" i="89"/>
  <c r="A470" i="89"/>
  <c r="A469" i="89"/>
  <c r="A468" i="89"/>
  <c r="A467" i="89"/>
  <c r="A466" i="89"/>
  <c r="A465" i="89"/>
  <c r="A464" i="89"/>
  <c r="A463" i="89"/>
  <c r="A462" i="89"/>
  <c r="A461" i="89"/>
  <c r="A460" i="89"/>
  <c r="A459" i="89"/>
  <c r="A458" i="89"/>
  <c r="A457" i="89"/>
  <c r="A456" i="89"/>
  <c r="A455" i="89"/>
  <c r="A454" i="89"/>
  <c r="A453" i="89"/>
  <c r="A452" i="89"/>
  <c r="A451" i="89"/>
  <c r="A450" i="89"/>
  <c r="A449" i="89"/>
  <c r="A448" i="89"/>
  <c r="A447" i="89"/>
  <c r="A446" i="89"/>
  <c r="A445" i="89"/>
  <c r="A444" i="89"/>
  <c r="A443" i="89"/>
  <c r="A442" i="89"/>
  <c r="A441" i="89"/>
  <c r="A440" i="89"/>
  <c r="A439" i="89"/>
  <c r="A438" i="89"/>
  <c r="A437" i="89"/>
  <c r="A436" i="89"/>
  <c r="A435" i="89"/>
  <c r="A434" i="89"/>
  <c r="A433" i="89"/>
  <c r="A432" i="89"/>
  <c r="A431" i="89"/>
  <c r="A430" i="89"/>
  <c r="A429" i="89"/>
  <c r="A428" i="89"/>
  <c r="A427" i="89"/>
  <c r="A426" i="89"/>
  <c r="A425" i="89"/>
  <c r="A424" i="89"/>
  <c r="A423" i="89"/>
  <c r="A422" i="89"/>
  <c r="A421" i="89"/>
  <c r="A420" i="89"/>
  <c r="A419" i="89"/>
  <c r="A418" i="89"/>
  <c r="A417" i="89"/>
  <c r="A416" i="89"/>
  <c r="A415" i="89"/>
  <c r="A414" i="89"/>
  <c r="A413" i="89"/>
  <c r="A412" i="89"/>
  <c r="A411" i="89"/>
  <c r="A410" i="89"/>
  <c r="A409" i="89"/>
  <c r="A408" i="89"/>
  <c r="A407" i="89"/>
  <c r="A406" i="89"/>
  <c r="A405" i="89"/>
  <c r="A404" i="89"/>
  <c r="A403" i="89"/>
  <c r="A402" i="89"/>
  <c r="A401" i="89"/>
  <c r="A400" i="89"/>
  <c r="A399" i="89"/>
  <c r="A398" i="89"/>
  <c r="A397" i="89"/>
  <c r="A396" i="89"/>
  <c r="A395" i="89"/>
  <c r="A394" i="89"/>
  <c r="A393" i="89"/>
  <c r="A392" i="89"/>
  <c r="A391" i="89"/>
  <c r="A390" i="89"/>
  <c r="A389" i="89"/>
  <c r="A388" i="89"/>
  <c r="A387" i="89"/>
  <c r="A386" i="89"/>
  <c r="A385" i="89"/>
  <c r="A384" i="89"/>
  <c r="A383" i="89"/>
  <c r="A382" i="89"/>
  <c r="A381" i="89"/>
  <c r="A380" i="89"/>
  <c r="A379" i="89"/>
  <c r="A378" i="89"/>
  <c r="A377" i="89"/>
  <c r="A376" i="89"/>
  <c r="A375" i="89"/>
  <c r="A374" i="89"/>
  <c r="A373" i="89"/>
  <c r="A372" i="89"/>
  <c r="A371" i="89"/>
  <c r="A370" i="89"/>
  <c r="A369" i="89"/>
  <c r="A368" i="89"/>
  <c r="A367" i="89"/>
  <c r="A366" i="89"/>
  <c r="A365" i="89"/>
  <c r="A364" i="89"/>
  <c r="A363" i="89"/>
  <c r="A362" i="89"/>
  <c r="A361" i="89"/>
  <c r="A360" i="89"/>
  <c r="A359" i="89"/>
  <c r="A358" i="89"/>
  <c r="A357" i="89"/>
  <c r="A356" i="89"/>
  <c r="A355" i="89"/>
  <c r="A354" i="89"/>
  <c r="A353" i="89"/>
  <c r="A352" i="89"/>
  <c r="A351" i="89"/>
  <c r="A350" i="89"/>
  <c r="A349" i="89"/>
  <c r="A348" i="89"/>
  <c r="A347" i="89"/>
  <c r="A346" i="89"/>
  <c r="A345" i="89"/>
  <c r="A344" i="89"/>
  <c r="A343" i="89"/>
  <c r="A342" i="89"/>
  <c r="A341" i="89"/>
  <c r="A340" i="89"/>
  <c r="A339" i="89"/>
  <c r="A338" i="89"/>
  <c r="A337" i="89"/>
  <c r="A336" i="89"/>
  <c r="A335" i="89"/>
  <c r="A334" i="89"/>
  <c r="A333" i="89"/>
  <c r="A332" i="89"/>
  <c r="A331" i="89"/>
  <c r="A330" i="89"/>
  <c r="A329" i="89"/>
  <c r="A328" i="89"/>
  <c r="A327" i="89"/>
  <c r="A326" i="89"/>
  <c r="A325" i="89"/>
  <c r="A324" i="89"/>
  <c r="A323" i="89"/>
  <c r="A322" i="89"/>
  <c r="A321" i="89"/>
  <c r="A320" i="89"/>
  <c r="A319" i="89"/>
  <c r="A318" i="89"/>
  <c r="A317" i="89"/>
  <c r="A316" i="89"/>
  <c r="A315" i="89"/>
  <c r="A314" i="89"/>
  <c r="A313" i="89"/>
  <c r="A312" i="89"/>
  <c r="A311" i="89"/>
  <c r="A310" i="89"/>
  <c r="A309" i="89"/>
  <c r="A308" i="89"/>
  <c r="A307" i="89"/>
  <c r="A306" i="89"/>
  <c r="A305" i="89"/>
  <c r="A304" i="89"/>
  <c r="A303" i="89"/>
  <c r="A302" i="89"/>
  <c r="A301" i="89"/>
  <c r="A300" i="89"/>
  <c r="A299" i="89"/>
  <c r="A298" i="89"/>
  <c r="A297" i="89"/>
  <c r="A296" i="89"/>
  <c r="A295" i="89"/>
  <c r="A294" i="89"/>
  <c r="A293" i="89"/>
  <c r="A292" i="89"/>
  <c r="A291" i="89"/>
  <c r="A290" i="89"/>
  <c r="A289" i="89"/>
  <c r="A288" i="89"/>
  <c r="A287" i="89"/>
  <c r="A286" i="89"/>
  <c r="A285" i="89"/>
  <c r="A284" i="89"/>
  <c r="A283" i="89"/>
  <c r="A282" i="89"/>
  <c r="A281" i="89"/>
  <c r="A280" i="89"/>
  <c r="A279" i="89"/>
  <c r="A278" i="89"/>
  <c r="A277" i="89"/>
  <c r="A276" i="89"/>
  <c r="A275" i="89"/>
  <c r="A274" i="89"/>
  <c r="A273" i="89"/>
  <c r="A272" i="89"/>
  <c r="A271" i="89"/>
  <c r="A270" i="89"/>
  <c r="A269" i="89"/>
  <c r="A268" i="89"/>
  <c r="A267" i="89"/>
  <c r="A266" i="89"/>
  <c r="A265" i="89"/>
  <c r="A264" i="89"/>
  <c r="A263" i="89"/>
  <c r="A262" i="89"/>
  <c r="A261" i="89"/>
  <c r="A260" i="89"/>
  <c r="A259" i="89"/>
  <c r="A258" i="89"/>
  <c r="A257" i="89"/>
  <c r="A256" i="89"/>
  <c r="A255" i="89"/>
  <c r="A254" i="89"/>
  <c r="A253" i="89"/>
  <c r="A252" i="89"/>
  <c r="A251" i="89"/>
  <c r="A250" i="89"/>
  <c r="A249" i="89"/>
  <c r="A248" i="89"/>
  <c r="A247" i="89"/>
  <c r="A246" i="89"/>
  <c r="A245" i="89"/>
  <c r="A244" i="89"/>
  <c r="A243" i="89"/>
  <c r="A242" i="89"/>
  <c r="A241" i="89"/>
  <c r="A240" i="89"/>
  <c r="A239" i="89"/>
  <c r="A238" i="89"/>
  <c r="A237" i="89"/>
  <c r="A236" i="89"/>
  <c r="A235" i="89"/>
  <c r="A234" i="89"/>
  <c r="A233" i="89"/>
  <c r="A232" i="89"/>
  <c r="A231" i="89"/>
  <c r="A230" i="89"/>
  <c r="A229" i="89"/>
  <c r="A228" i="89"/>
  <c r="A227" i="89"/>
  <c r="A226" i="89"/>
  <c r="A225" i="89"/>
  <c r="A224" i="89"/>
  <c r="A223" i="89"/>
  <c r="A222" i="89"/>
  <c r="A221" i="89"/>
  <c r="A220" i="89"/>
  <c r="A219" i="89"/>
  <c r="A218" i="89"/>
  <c r="A217" i="89"/>
  <c r="A216" i="89"/>
  <c r="A215" i="89"/>
  <c r="A214" i="89"/>
  <c r="A213" i="89"/>
  <c r="A212" i="89"/>
  <c r="A211" i="89"/>
  <c r="A210" i="89"/>
  <c r="A209" i="89"/>
  <c r="A208" i="89"/>
  <c r="A207" i="89"/>
  <c r="A206" i="89"/>
  <c r="A205" i="89"/>
  <c r="A204" i="89"/>
  <c r="A203" i="89"/>
  <c r="A202" i="89"/>
  <c r="A201" i="89"/>
  <c r="A200" i="89"/>
  <c r="A199" i="89"/>
  <c r="A198" i="89"/>
  <c r="A197" i="89"/>
  <c r="A196" i="89"/>
  <c r="A195" i="89"/>
  <c r="A194" i="89"/>
  <c r="A193" i="89"/>
  <c r="A192" i="89"/>
  <c r="A191" i="89"/>
  <c r="A190" i="89"/>
  <c r="A189" i="89"/>
  <c r="A188" i="89"/>
  <c r="A187" i="89"/>
  <c r="A186" i="89"/>
  <c r="A185" i="89"/>
  <c r="A184" i="89"/>
  <c r="A183" i="89"/>
  <c r="A182" i="89"/>
  <c r="A181" i="89"/>
  <c r="A180" i="89"/>
  <c r="A179" i="89"/>
  <c r="A178" i="89"/>
  <c r="A177" i="89"/>
  <c r="A176" i="89"/>
  <c r="A175" i="89"/>
  <c r="A174" i="89"/>
  <c r="A173" i="89"/>
  <c r="A172" i="89"/>
  <c r="A171" i="89"/>
  <c r="A170" i="89"/>
  <c r="A169" i="89"/>
  <c r="A168" i="89"/>
  <c r="A167" i="89"/>
  <c r="A166" i="89"/>
  <c r="A165" i="89"/>
  <c r="A164" i="89"/>
  <c r="A163" i="89"/>
  <c r="A162" i="89"/>
  <c r="A161" i="89"/>
  <c r="A160" i="89"/>
  <c r="A159" i="89"/>
  <c r="A158" i="89"/>
  <c r="A157" i="89"/>
  <c r="A156" i="89"/>
  <c r="A155" i="89"/>
  <c r="A154" i="89"/>
  <c r="A153" i="89"/>
  <c r="A152" i="89"/>
  <c r="A151" i="89"/>
  <c r="A150" i="89"/>
  <c r="A149" i="89"/>
  <c r="A148" i="89"/>
  <c r="A147" i="89"/>
  <c r="A146" i="89"/>
  <c r="A145" i="89"/>
  <c r="A144" i="89"/>
  <c r="A143" i="89"/>
  <c r="A142" i="89"/>
  <c r="A141" i="89"/>
  <c r="A140" i="89"/>
  <c r="A139" i="89"/>
  <c r="A138" i="89"/>
  <c r="A137" i="89"/>
  <c r="A136" i="89"/>
  <c r="A135" i="89"/>
  <c r="A134" i="89"/>
  <c r="A133" i="89"/>
  <c r="A132" i="89"/>
  <c r="A131" i="89"/>
  <c r="A130" i="89"/>
  <c r="A129" i="89"/>
  <c r="A128" i="89"/>
  <c r="A127" i="89"/>
  <c r="A126" i="89"/>
  <c r="A125" i="89"/>
  <c r="A124" i="89"/>
  <c r="A123" i="89"/>
  <c r="A122" i="89"/>
  <c r="A121" i="89"/>
  <c r="A120" i="89"/>
  <c r="A119" i="89"/>
  <c r="A118" i="89"/>
  <c r="A117" i="89"/>
  <c r="A116" i="89"/>
  <c r="A115" i="89"/>
  <c r="A114" i="89"/>
  <c r="A113" i="89"/>
  <c r="A112" i="89"/>
  <c r="A111" i="89"/>
  <c r="A110" i="89"/>
  <c r="A109" i="89"/>
  <c r="A108" i="89"/>
  <c r="A107" i="89"/>
  <c r="A106" i="89"/>
  <c r="A105" i="89"/>
  <c r="A104" i="89"/>
  <c r="A103" i="89"/>
  <c r="A102" i="89"/>
  <c r="A101" i="89"/>
  <c r="A100" i="89"/>
  <c r="A99" i="89"/>
  <c r="A98" i="89"/>
  <c r="A97" i="89"/>
  <c r="A96" i="89"/>
  <c r="A95" i="89"/>
  <c r="A94" i="89"/>
  <c r="A93" i="89"/>
  <c r="A92" i="89"/>
  <c r="A91" i="89"/>
  <c r="A90" i="89"/>
  <c r="A89" i="89"/>
  <c r="A88" i="89"/>
  <c r="A87" i="89"/>
  <c r="A86" i="89"/>
  <c r="A85" i="89"/>
  <c r="A84" i="89"/>
  <c r="A83" i="89"/>
  <c r="A82" i="89"/>
  <c r="A81" i="89"/>
  <c r="A80" i="89"/>
  <c r="A79" i="89"/>
  <c r="A78" i="89"/>
  <c r="A77" i="89"/>
  <c r="A76" i="89"/>
  <c r="A75" i="89"/>
  <c r="A74" i="89"/>
  <c r="A73" i="89"/>
  <c r="A72" i="89"/>
  <c r="A71" i="89"/>
  <c r="A70" i="89"/>
  <c r="A69" i="89"/>
  <c r="A68" i="89"/>
  <c r="A67" i="89"/>
  <c r="A66" i="89"/>
  <c r="A65" i="89"/>
  <c r="A64" i="89"/>
  <c r="A63" i="89"/>
  <c r="A62" i="89"/>
  <c r="A61" i="89"/>
  <c r="A60" i="89"/>
  <c r="A59" i="89"/>
  <c r="A58" i="89"/>
  <c r="A57" i="89"/>
  <c r="A56" i="89"/>
  <c r="A55" i="89"/>
  <c r="A54" i="89"/>
  <c r="A53" i="89"/>
  <c r="A52" i="89"/>
  <c r="A51" i="89"/>
  <c r="A50" i="89"/>
  <c r="A49" i="89"/>
  <c r="A48" i="89"/>
  <c r="A47" i="89"/>
  <c r="A46" i="89"/>
  <c r="A45" i="89"/>
  <c r="A44" i="89"/>
  <c r="A43" i="89"/>
  <c r="A42" i="89"/>
  <c r="A41" i="89"/>
  <c r="A40" i="89"/>
  <c r="A39" i="89"/>
  <c r="A38" i="89"/>
  <c r="A37" i="89"/>
  <c r="A36" i="89"/>
  <c r="A35" i="89"/>
  <c r="A34" i="89"/>
  <c r="A33" i="89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13" i="1" l="1"/>
  <c r="A10" i="1"/>
  <c r="A17" i="1"/>
  <c r="A1694" i="1"/>
  <c r="A19" i="1"/>
  <c r="A10" i="9" l="1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9" i="9"/>
  <c r="A9" i="1"/>
  <c r="J7" i="1" l="1"/>
  <c r="A5" i="7"/>
  <c r="M1" i="6" l="1"/>
  <c r="N1" i="6"/>
  <c r="O1" i="6"/>
  <c r="P1" i="6"/>
  <c r="Q1" i="6"/>
  <c r="R1" i="6"/>
  <c r="A4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Q7" i="1" l="1"/>
  <c r="L1" i="6" s="1"/>
  <c r="P7" i="1"/>
  <c r="K1" i="6" s="1"/>
  <c r="O7" i="1"/>
  <c r="J1" i="6" s="1"/>
  <c r="N7" i="1"/>
  <c r="I1" i="6" s="1"/>
  <c r="M7" i="1"/>
  <c r="H1" i="6" s="1"/>
  <c r="L7" i="1"/>
  <c r="G1" i="6" s="1"/>
  <c r="H7" i="1"/>
  <c r="H2" i="7" s="1"/>
  <c r="O2" i="7"/>
  <c r="E1" i="6"/>
  <c r="I7" i="1"/>
  <c r="D1" i="6" s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3" i="8"/>
  <c r="A3" i="7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CH1" i="6"/>
  <c r="CI1" i="6"/>
  <c r="CJ1" i="6"/>
  <c r="CK1" i="6"/>
  <c r="CL1" i="6"/>
  <c r="CM1" i="6"/>
  <c r="CN1" i="6"/>
  <c r="CO1" i="6"/>
  <c r="CP1" i="6"/>
  <c r="CQ1" i="6"/>
  <c r="CR1" i="6"/>
  <c r="CS1" i="6"/>
  <c r="CT1" i="6"/>
  <c r="CU1" i="6"/>
  <c r="CV1" i="6"/>
  <c r="CW1" i="6"/>
  <c r="CX1" i="6"/>
  <c r="CY1" i="6"/>
  <c r="CZ1" i="6"/>
  <c r="DA1" i="6"/>
  <c r="DB1" i="6"/>
  <c r="DC1" i="6"/>
  <c r="DD1" i="6"/>
  <c r="DE1" i="6"/>
  <c r="DF1" i="6"/>
  <c r="DG1" i="6"/>
  <c r="DH1" i="6"/>
  <c r="DI1" i="6"/>
  <c r="DJ1" i="6"/>
  <c r="DK1" i="6"/>
  <c r="DL1" i="6"/>
  <c r="DM1" i="6"/>
  <c r="DN1" i="6"/>
  <c r="DO1" i="6"/>
  <c r="DP1" i="6"/>
  <c r="DQ1" i="6"/>
  <c r="DR1" i="6"/>
  <c r="DS1" i="6"/>
  <c r="DT1" i="6"/>
  <c r="DU1" i="6"/>
  <c r="DV1" i="6"/>
  <c r="DW1" i="6"/>
  <c r="DX1" i="6"/>
  <c r="DY1" i="6"/>
  <c r="DZ1" i="6"/>
  <c r="EA1" i="6"/>
  <c r="EB1" i="6"/>
  <c r="EC1" i="6"/>
  <c r="ED1" i="6"/>
  <c r="EE1" i="6"/>
  <c r="EF1" i="6"/>
  <c r="EG1" i="6"/>
  <c r="EH1" i="6"/>
  <c r="EI1" i="6"/>
  <c r="EJ1" i="6"/>
  <c r="EK1" i="6"/>
  <c r="EL1" i="6"/>
  <c r="EM1" i="6"/>
  <c r="EN1" i="6"/>
  <c r="EO1" i="6"/>
  <c r="EP1" i="6"/>
  <c r="EQ1" i="6"/>
  <c r="ER1" i="6"/>
  <c r="ES1" i="6"/>
  <c r="ET1" i="6"/>
  <c r="EU1" i="6"/>
  <c r="EV1" i="6"/>
  <c r="EW1" i="6"/>
  <c r="EX1" i="6"/>
  <c r="EY1" i="6"/>
  <c r="EZ1" i="6"/>
  <c r="FA1" i="6"/>
  <c r="FB1" i="6"/>
  <c r="K2" i="7"/>
  <c r="L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A1691" i="6"/>
  <c r="A1692" i="6"/>
  <c r="A1693" i="6"/>
  <c r="A1694" i="6"/>
  <c r="A1695" i="6"/>
  <c r="A1696" i="6"/>
  <c r="A1697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2" i="6"/>
  <c r="FC1" i="6"/>
  <c r="FD1" i="6"/>
  <c r="FE1" i="6"/>
  <c r="FF1" i="6"/>
  <c r="FG1" i="6"/>
  <c r="FH1" i="6"/>
  <c r="FI1" i="6"/>
  <c r="FJ1" i="6"/>
  <c r="FK1" i="6"/>
  <c r="FL1" i="6"/>
  <c r="FM1" i="6"/>
  <c r="FN1" i="6"/>
  <c r="FO1" i="6"/>
  <c r="FP1" i="6"/>
  <c r="FQ1" i="6"/>
  <c r="FR1" i="6"/>
  <c r="FS1" i="6"/>
  <c r="FT1" i="6"/>
  <c r="FU1" i="6"/>
  <c r="FV1" i="6"/>
  <c r="FW1" i="6"/>
  <c r="FX1" i="6"/>
  <c r="FY1" i="6"/>
  <c r="FZ1" i="6"/>
  <c r="GA1" i="6"/>
  <c r="GB1" i="6"/>
  <c r="GC1" i="6"/>
  <c r="GD1" i="6"/>
  <c r="GE1" i="6"/>
  <c r="GF1" i="6"/>
  <c r="GG1" i="6"/>
  <c r="GH1" i="6"/>
  <c r="GI1" i="6"/>
  <c r="GJ1" i="6"/>
  <c r="GK1" i="6"/>
  <c r="GL1" i="6"/>
  <c r="GM1" i="6"/>
  <c r="GN1" i="6"/>
  <c r="GO1" i="6"/>
  <c r="GP1" i="6"/>
  <c r="GQ1" i="6"/>
  <c r="GR1" i="6"/>
  <c r="GS1" i="6"/>
  <c r="GT1" i="6"/>
  <c r="GU1" i="6"/>
  <c r="GV1" i="6"/>
  <c r="GW1" i="6"/>
  <c r="GX1" i="6"/>
  <c r="GY1" i="6"/>
  <c r="GZ1" i="6"/>
  <c r="HA1" i="6"/>
  <c r="HB1" i="6"/>
  <c r="HC1" i="6"/>
  <c r="HD1" i="6"/>
  <c r="HE1" i="6"/>
  <c r="HF1" i="6"/>
  <c r="HG1" i="6"/>
  <c r="HH1" i="6"/>
  <c r="HI1" i="6"/>
  <c r="HJ1" i="6"/>
  <c r="HK1" i="6"/>
  <c r="HL1" i="6"/>
  <c r="HM1" i="6"/>
  <c r="HN1" i="6"/>
  <c r="HO1" i="6"/>
  <c r="HP1" i="6"/>
  <c r="HQ1" i="6"/>
  <c r="HR1" i="6"/>
  <c r="HS1" i="6"/>
  <c r="HT1" i="6"/>
  <c r="HU1" i="6"/>
  <c r="HV1" i="6"/>
  <c r="HW1" i="6"/>
  <c r="HX1" i="6"/>
  <c r="HY1" i="6"/>
  <c r="HZ1" i="6"/>
  <c r="IA1" i="6"/>
  <c r="IB1" i="6"/>
  <c r="IC1" i="6"/>
  <c r="ID1" i="6"/>
  <c r="IE1" i="6"/>
  <c r="IF1" i="6"/>
  <c r="IG1" i="6"/>
  <c r="IH1" i="6"/>
  <c r="II1" i="6"/>
  <c r="IJ1" i="6"/>
  <c r="IK1" i="6"/>
  <c r="IL1" i="6"/>
  <c r="IM1" i="6"/>
  <c r="IN1" i="6"/>
  <c r="IO1" i="6"/>
  <c r="IP1" i="6"/>
  <c r="IQ1" i="6"/>
  <c r="IR1" i="6"/>
  <c r="IS1" i="6"/>
  <c r="IT1" i="6"/>
  <c r="IU1" i="6"/>
  <c r="IV1" i="6"/>
  <c r="IW1" i="6"/>
  <c r="IX1" i="6"/>
  <c r="IY1" i="6"/>
  <c r="IZ1" i="6"/>
  <c r="JA1" i="6"/>
  <c r="JB1" i="6"/>
  <c r="B3" i="6"/>
  <c r="A2" i="6"/>
  <c r="A3" i="6"/>
  <c r="A12" i="1"/>
  <c r="A5" i="6" s="1"/>
  <c r="A6" i="6"/>
  <c r="A14" i="1"/>
  <c r="A7" i="6" s="1"/>
  <c r="A15" i="1"/>
  <c r="A8" i="6" s="1"/>
  <c r="A16" i="1"/>
  <c r="A9" i="6" s="1"/>
  <c r="A10" i="6"/>
  <c r="A18" i="1"/>
  <c r="A11" i="6" s="1"/>
  <c r="A12" i="6"/>
  <c r="A20" i="1"/>
  <c r="A13" i="6" s="1"/>
  <c r="A21" i="1"/>
  <c r="A14" i="6" s="1"/>
  <c r="A22" i="1"/>
  <c r="A15" i="6" s="1"/>
  <c r="A23" i="1"/>
  <c r="A16" i="6" s="1"/>
  <c r="A24" i="1"/>
  <c r="A17" i="6" s="1"/>
  <c r="A25" i="1"/>
  <c r="A18" i="6" s="1"/>
  <c r="A26" i="1"/>
  <c r="A19" i="6" s="1"/>
  <c r="A27" i="1"/>
  <c r="A20" i="6" s="1"/>
  <c r="A28" i="1"/>
  <c r="A21" i="6" s="1"/>
  <c r="A29" i="1"/>
  <c r="A22" i="6" s="1"/>
  <c r="A30" i="1"/>
  <c r="A23" i="6" s="1"/>
  <c r="A31" i="1"/>
  <c r="A24" i="6" s="1"/>
  <c r="A32" i="1"/>
  <c r="A25" i="6" s="1"/>
  <c r="A33" i="1"/>
  <c r="A26" i="6" s="1"/>
  <c r="A34" i="1"/>
  <c r="A27" i="6" s="1"/>
  <c r="A35" i="1"/>
  <c r="A28" i="6" s="1"/>
  <c r="A36" i="1"/>
  <c r="A29" i="6" s="1"/>
  <c r="A37" i="1"/>
  <c r="A30" i="6" s="1"/>
  <c r="A38" i="1"/>
  <c r="A31" i="6" s="1"/>
  <c r="A39" i="1"/>
  <c r="A32" i="6" s="1"/>
  <c r="A40" i="1"/>
  <c r="A33" i="6" s="1"/>
  <c r="A41" i="1"/>
  <c r="A34" i="6" s="1"/>
  <c r="A42" i="1"/>
  <c r="A35" i="6" s="1"/>
  <c r="A43" i="1"/>
  <c r="A36" i="6" s="1"/>
  <c r="A44" i="1"/>
  <c r="A37" i="6" s="1"/>
  <c r="A45" i="1"/>
  <c r="A38" i="6" s="1"/>
  <c r="A46" i="1"/>
  <c r="A39" i="6" s="1"/>
  <c r="A47" i="1"/>
  <c r="A40" i="6" s="1"/>
  <c r="A48" i="1"/>
  <c r="A41" i="6" s="1"/>
  <c r="A49" i="1"/>
  <c r="A42" i="6" s="1"/>
  <c r="A50" i="1"/>
  <c r="A43" i="6" s="1"/>
  <c r="A51" i="1"/>
  <c r="A44" i="6" s="1"/>
  <c r="A52" i="1"/>
  <c r="A45" i="6" s="1"/>
  <c r="A53" i="1"/>
  <c r="A46" i="6" s="1"/>
  <c r="A54" i="1"/>
  <c r="A47" i="6" s="1"/>
  <c r="A55" i="1"/>
  <c r="A48" i="6" s="1"/>
  <c r="A56" i="1"/>
  <c r="A49" i="6" s="1"/>
  <c r="A57" i="1"/>
  <c r="A50" i="6" s="1"/>
  <c r="A58" i="1"/>
  <c r="A51" i="6" s="1"/>
  <c r="A59" i="1"/>
  <c r="A52" i="6" s="1"/>
  <c r="A60" i="1"/>
  <c r="A53" i="6" s="1"/>
  <c r="A61" i="1"/>
  <c r="A54" i="6" s="1"/>
  <c r="A62" i="1"/>
  <c r="A55" i="6" s="1"/>
  <c r="A63" i="1"/>
  <c r="A56" i="6" s="1"/>
  <c r="A64" i="1"/>
  <c r="A57" i="6" s="1"/>
  <c r="A65" i="1"/>
  <c r="A58" i="6" s="1"/>
  <c r="A66" i="1"/>
  <c r="A59" i="6" s="1"/>
  <c r="A67" i="1"/>
  <c r="A60" i="6" s="1"/>
  <c r="A68" i="1"/>
  <c r="A61" i="6" s="1"/>
  <c r="A69" i="1"/>
  <c r="A62" i="6" s="1"/>
  <c r="A70" i="1"/>
  <c r="A63" i="6" s="1"/>
  <c r="A71" i="1"/>
  <c r="A64" i="6" s="1"/>
  <c r="A72" i="1"/>
  <c r="A65" i="6" s="1"/>
  <c r="A73" i="1"/>
  <c r="A66" i="6" s="1"/>
  <c r="A74" i="1"/>
  <c r="A67" i="6" s="1"/>
  <c r="A75" i="1"/>
  <c r="A68" i="6" s="1"/>
  <c r="A76" i="1"/>
  <c r="A69" i="6" s="1"/>
  <c r="A77" i="1"/>
  <c r="A70" i="6" s="1"/>
  <c r="A78" i="1"/>
  <c r="A71" i="6" s="1"/>
  <c r="A79" i="1"/>
  <c r="A72" i="6" s="1"/>
  <c r="A80" i="1"/>
  <c r="A73" i="6" s="1"/>
  <c r="A81" i="1"/>
  <c r="A74" i="6" s="1"/>
  <c r="A82" i="1"/>
  <c r="A75" i="6" s="1"/>
  <c r="A83" i="1"/>
  <c r="A76" i="6" s="1"/>
  <c r="A84" i="1"/>
  <c r="A77" i="6" s="1"/>
  <c r="A85" i="1"/>
  <c r="A78" i="6" s="1"/>
  <c r="A86" i="1"/>
  <c r="A79" i="6" s="1"/>
  <c r="A87" i="1"/>
  <c r="A80" i="6" s="1"/>
  <c r="A88" i="1"/>
  <c r="A81" i="6" s="1"/>
  <c r="A89" i="1"/>
  <c r="A82" i="6" s="1"/>
  <c r="A90" i="1"/>
  <c r="A83" i="6" s="1"/>
  <c r="A91" i="1"/>
  <c r="A84" i="6" s="1"/>
  <c r="A92" i="1"/>
  <c r="A85" i="6" s="1"/>
  <c r="A93" i="1"/>
  <c r="A86" i="6" s="1"/>
  <c r="A94" i="1"/>
  <c r="A87" i="6" s="1"/>
  <c r="A95" i="1"/>
  <c r="A88" i="6" s="1"/>
  <c r="A96" i="1"/>
  <c r="A89" i="6" s="1"/>
  <c r="A97" i="1"/>
  <c r="A90" i="6" s="1"/>
  <c r="A98" i="1"/>
  <c r="A91" i="6" s="1"/>
  <c r="A99" i="1"/>
  <c r="A92" i="6" s="1"/>
  <c r="A100" i="1"/>
  <c r="A93" i="6" s="1"/>
  <c r="A101" i="1"/>
  <c r="A94" i="6" s="1"/>
  <c r="A102" i="1"/>
  <c r="A95" i="6" s="1"/>
  <c r="A103" i="1"/>
  <c r="A96" i="6" s="1"/>
  <c r="A104" i="1"/>
  <c r="A97" i="6" s="1"/>
  <c r="A105" i="1"/>
  <c r="A98" i="6" s="1"/>
  <c r="A106" i="1"/>
  <c r="A99" i="6" s="1"/>
  <c r="A107" i="1"/>
  <c r="A100" i="6" s="1"/>
  <c r="A108" i="1"/>
  <c r="A101" i="6" s="1"/>
  <c r="A109" i="1"/>
  <c r="A102" i="6" s="1"/>
  <c r="A110" i="1"/>
  <c r="A103" i="6" s="1"/>
  <c r="A111" i="1"/>
  <c r="A104" i="6" s="1"/>
  <c r="A112" i="1"/>
  <c r="A105" i="6" s="1"/>
  <c r="A113" i="1"/>
  <c r="A106" i="6" s="1"/>
  <c r="A114" i="1"/>
  <c r="A107" i="6" s="1"/>
  <c r="A115" i="1"/>
  <c r="A108" i="6" s="1"/>
  <c r="A116" i="1"/>
  <c r="A109" i="6" s="1"/>
  <c r="A117" i="1"/>
  <c r="A110" i="6" s="1"/>
  <c r="A118" i="1"/>
  <c r="A111" i="6" s="1"/>
  <c r="A119" i="1"/>
  <c r="A112" i="6" s="1"/>
  <c r="A120" i="1"/>
  <c r="A113" i="6" s="1"/>
  <c r="A121" i="1"/>
  <c r="A114" i="6" s="1"/>
  <c r="A122" i="1"/>
  <c r="A115" i="6" s="1"/>
  <c r="A123" i="1"/>
  <c r="A116" i="6" s="1"/>
  <c r="A124" i="1"/>
  <c r="A117" i="6" s="1"/>
  <c r="A125" i="1"/>
  <c r="A118" i="6" s="1"/>
  <c r="A126" i="1"/>
  <c r="A119" i="6" s="1"/>
  <c r="A127" i="1"/>
  <c r="A120" i="6" s="1"/>
  <c r="A128" i="1"/>
  <c r="A121" i="6" s="1"/>
  <c r="A129" i="1"/>
  <c r="A122" i="6" s="1"/>
  <c r="A130" i="1"/>
  <c r="A123" i="6" s="1"/>
  <c r="A131" i="1"/>
  <c r="A124" i="6" s="1"/>
  <c r="A132" i="1"/>
  <c r="A125" i="6" s="1"/>
  <c r="A133" i="1"/>
  <c r="A126" i="6" s="1"/>
  <c r="A134" i="1"/>
  <c r="A127" i="6" s="1"/>
  <c r="A135" i="1"/>
  <c r="A128" i="6" s="1"/>
  <c r="A136" i="1"/>
  <c r="A129" i="6" s="1"/>
  <c r="A137" i="1"/>
  <c r="A130" i="6" s="1"/>
  <c r="A138" i="1"/>
  <c r="A131" i="6" s="1"/>
  <c r="A139" i="1"/>
  <c r="A132" i="6" s="1"/>
  <c r="A140" i="1"/>
  <c r="A133" i="6" s="1"/>
  <c r="A141" i="1"/>
  <c r="A134" i="6" s="1"/>
  <c r="A142" i="1"/>
  <c r="A135" i="6" s="1"/>
  <c r="A143" i="1"/>
  <c r="A136" i="6" s="1"/>
  <c r="A144" i="1"/>
  <c r="A137" i="6" s="1"/>
  <c r="A145" i="1"/>
  <c r="A138" i="6" s="1"/>
  <c r="A146" i="1"/>
  <c r="A139" i="6" s="1"/>
  <c r="A147" i="1"/>
  <c r="A140" i="6" s="1"/>
  <c r="A148" i="1"/>
  <c r="A141" i="6" s="1"/>
  <c r="A149" i="1"/>
  <c r="A142" i="6" s="1"/>
  <c r="A150" i="1"/>
  <c r="A143" i="6" s="1"/>
  <c r="A151" i="1"/>
  <c r="A144" i="6" s="1"/>
  <c r="A152" i="1"/>
  <c r="A145" i="6" s="1"/>
  <c r="A153" i="1"/>
  <c r="A146" i="6" s="1"/>
  <c r="A154" i="1"/>
  <c r="A147" i="6" s="1"/>
  <c r="A155" i="1"/>
  <c r="A148" i="6" s="1"/>
  <c r="A156" i="1"/>
  <c r="A149" i="6" s="1"/>
  <c r="A157" i="1"/>
  <c r="A150" i="6" s="1"/>
  <c r="A158" i="1"/>
  <c r="A151" i="6" s="1"/>
  <c r="A159" i="1"/>
  <c r="A152" i="6" s="1"/>
  <c r="A160" i="1"/>
  <c r="A153" i="6" s="1"/>
  <c r="A161" i="1"/>
  <c r="A154" i="6" s="1"/>
  <c r="A162" i="1"/>
  <c r="A155" i="6" s="1"/>
  <c r="A163" i="1"/>
  <c r="A156" i="6" s="1"/>
  <c r="A164" i="1"/>
  <c r="A157" i="6" s="1"/>
  <c r="A165" i="1"/>
  <c r="A158" i="6" s="1"/>
  <c r="A166" i="1"/>
  <c r="A159" i="6" s="1"/>
  <c r="A167" i="1"/>
  <c r="A160" i="6" s="1"/>
  <c r="A168" i="1"/>
  <c r="A161" i="6" s="1"/>
  <c r="A169" i="1"/>
  <c r="A162" i="6" s="1"/>
  <c r="A170" i="1"/>
  <c r="A163" i="6" s="1"/>
  <c r="A171" i="1"/>
  <c r="A164" i="6" s="1"/>
  <c r="A172" i="1"/>
  <c r="A165" i="6" s="1"/>
  <c r="A173" i="1"/>
  <c r="A166" i="6" s="1"/>
  <c r="A174" i="1"/>
  <c r="A167" i="6" s="1"/>
  <c r="A175" i="1"/>
  <c r="A168" i="6" s="1"/>
  <c r="A176" i="1"/>
  <c r="A169" i="6" s="1"/>
  <c r="A177" i="1"/>
  <c r="A170" i="6" s="1"/>
  <c r="A178" i="1"/>
  <c r="A171" i="6" s="1"/>
  <c r="A179" i="1"/>
  <c r="A172" i="6" s="1"/>
  <c r="A180" i="1"/>
  <c r="A173" i="6" s="1"/>
  <c r="A181" i="1"/>
  <c r="A174" i="6" s="1"/>
  <c r="A182" i="1"/>
  <c r="A175" i="6" s="1"/>
  <c r="A183" i="1"/>
  <c r="A176" i="6" s="1"/>
  <c r="A184" i="1"/>
  <c r="A177" i="6" s="1"/>
  <c r="A185" i="1"/>
  <c r="A178" i="6" s="1"/>
  <c r="A186" i="1"/>
  <c r="A179" i="6" s="1"/>
  <c r="A187" i="1"/>
  <c r="A180" i="6" s="1"/>
  <c r="A188" i="1"/>
  <c r="A181" i="6" s="1"/>
  <c r="A189" i="1"/>
  <c r="A182" i="6" s="1"/>
  <c r="A190" i="1"/>
  <c r="A183" i="6" s="1"/>
  <c r="A191" i="1"/>
  <c r="A184" i="6" s="1"/>
  <c r="A192" i="1"/>
  <c r="A185" i="6" s="1"/>
  <c r="A193" i="1"/>
  <c r="A186" i="6" s="1"/>
  <c r="A194" i="1"/>
  <c r="A187" i="6" s="1"/>
  <c r="A195" i="1"/>
  <c r="A188" i="6" s="1"/>
  <c r="A196" i="1"/>
  <c r="A189" i="6" s="1"/>
  <c r="A197" i="1"/>
  <c r="A190" i="6" s="1"/>
  <c r="A198" i="1"/>
  <c r="A191" i="6" s="1"/>
  <c r="A199" i="1"/>
  <c r="A192" i="6" s="1"/>
  <c r="A200" i="1"/>
  <c r="A193" i="6" s="1"/>
  <c r="A201" i="1"/>
  <c r="A194" i="6" s="1"/>
  <c r="A202" i="1"/>
  <c r="A195" i="6" s="1"/>
  <c r="A203" i="1"/>
  <c r="A196" i="6" s="1"/>
  <c r="A204" i="1"/>
  <c r="A197" i="6" s="1"/>
  <c r="A205" i="1"/>
  <c r="A198" i="6" s="1"/>
  <c r="A206" i="1"/>
  <c r="A199" i="6" s="1"/>
  <c r="A207" i="1"/>
  <c r="A200" i="6" s="1"/>
  <c r="A208" i="1"/>
  <c r="A201" i="6" s="1"/>
  <c r="A209" i="1"/>
  <c r="A202" i="6" s="1"/>
  <c r="A210" i="1"/>
  <c r="A203" i="6" s="1"/>
  <c r="A211" i="1"/>
  <c r="A204" i="6" s="1"/>
  <c r="A212" i="1"/>
  <c r="A205" i="6" s="1"/>
  <c r="A213" i="1"/>
  <c r="A206" i="6" s="1"/>
  <c r="A214" i="1"/>
  <c r="A207" i="6" s="1"/>
  <c r="A215" i="1"/>
  <c r="A208" i="6" s="1"/>
  <c r="A216" i="1"/>
  <c r="A209" i="6" s="1"/>
  <c r="A217" i="1"/>
  <c r="A210" i="6" s="1"/>
  <c r="A218" i="1"/>
  <c r="A211" i="6" s="1"/>
  <c r="A219" i="1"/>
  <c r="A212" i="6" s="1"/>
  <c r="A220" i="1"/>
  <c r="A213" i="6" s="1"/>
  <c r="A221" i="1"/>
  <c r="A214" i="6" s="1"/>
  <c r="A222" i="1"/>
  <c r="A215" i="6" s="1"/>
  <c r="A223" i="1"/>
  <c r="A216" i="6" s="1"/>
  <c r="A224" i="1"/>
  <c r="A217" i="6" s="1"/>
  <c r="A225" i="1"/>
  <c r="A218" i="6" s="1"/>
  <c r="A226" i="1"/>
  <c r="A219" i="6" s="1"/>
  <c r="A227" i="1"/>
  <c r="A220" i="6" s="1"/>
  <c r="A228" i="1"/>
  <c r="A221" i="6" s="1"/>
  <c r="A229" i="1"/>
  <c r="A222" i="6" s="1"/>
  <c r="A230" i="1"/>
  <c r="A223" i="6" s="1"/>
  <c r="A231" i="1"/>
  <c r="A224" i="6" s="1"/>
  <c r="A232" i="1"/>
  <c r="A225" i="6" s="1"/>
  <c r="A233" i="1"/>
  <c r="A226" i="6" s="1"/>
  <c r="A234" i="1"/>
  <c r="A227" i="6" s="1"/>
  <c r="A235" i="1"/>
  <c r="A228" i="6" s="1"/>
  <c r="A236" i="1"/>
  <c r="A229" i="6" s="1"/>
  <c r="A237" i="1"/>
  <c r="A230" i="6" s="1"/>
  <c r="A238" i="1"/>
  <c r="A231" i="6" s="1"/>
  <c r="A239" i="1"/>
  <c r="A232" i="6" s="1"/>
  <c r="A240" i="1"/>
  <c r="A233" i="6" s="1"/>
  <c r="A241" i="1"/>
  <c r="A234" i="6" s="1"/>
  <c r="A242" i="1"/>
  <c r="A235" i="6" s="1"/>
  <c r="A243" i="1"/>
  <c r="A236" i="6" s="1"/>
  <c r="A244" i="1"/>
  <c r="A237" i="6" s="1"/>
  <c r="A245" i="1"/>
  <c r="A238" i="6" s="1"/>
  <c r="A246" i="1"/>
  <c r="A239" i="6" s="1"/>
  <c r="A247" i="1"/>
  <c r="A240" i="6" s="1"/>
  <c r="A248" i="1"/>
  <c r="A241" i="6" s="1"/>
  <c r="A249" i="1"/>
  <c r="A242" i="6" s="1"/>
  <c r="A250" i="1"/>
  <c r="A243" i="6" s="1"/>
  <c r="A251" i="1"/>
  <c r="A244" i="6" s="1"/>
  <c r="A252" i="1"/>
  <c r="A245" i="6" s="1"/>
  <c r="A253" i="1"/>
  <c r="A246" i="6" s="1"/>
  <c r="A254" i="1"/>
  <c r="A247" i="6" s="1"/>
  <c r="A255" i="1"/>
  <c r="A248" i="6" s="1"/>
  <c r="A256" i="1"/>
  <c r="A249" i="6" s="1"/>
  <c r="A257" i="1"/>
  <c r="A250" i="6" s="1"/>
  <c r="A258" i="1"/>
  <c r="A251" i="6" s="1"/>
  <c r="A259" i="1"/>
  <c r="A252" i="6" s="1"/>
  <c r="A260" i="1"/>
  <c r="A253" i="6" s="1"/>
  <c r="A261" i="1"/>
  <c r="A254" i="6" s="1"/>
  <c r="A262" i="1"/>
  <c r="A255" i="6" s="1"/>
  <c r="A263" i="1"/>
  <c r="A256" i="6" s="1"/>
  <c r="A264" i="1"/>
  <c r="A257" i="6" s="1"/>
  <c r="A265" i="1"/>
  <c r="A258" i="6" s="1"/>
  <c r="A266" i="1"/>
  <c r="A259" i="6" s="1"/>
  <c r="A267" i="1"/>
  <c r="A260" i="6" s="1"/>
  <c r="A268" i="1"/>
  <c r="A261" i="6" s="1"/>
  <c r="A269" i="1"/>
  <c r="A262" i="6" s="1"/>
  <c r="A270" i="1"/>
  <c r="A263" i="6" s="1"/>
  <c r="A271" i="1"/>
  <c r="A264" i="6" s="1"/>
  <c r="A272" i="1"/>
  <c r="A265" i="6" s="1"/>
  <c r="A273" i="1"/>
  <c r="A266" i="6" s="1"/>
  <c r="A274" i="1"/>
  <c r="A267" i="6" s="1"/>
  <c r="A275" i="1"/>
  <c r="A268" i="6" s="1"/>
  <c r="A276" i="1"/>
  <c r="A269" i="6" s="1"/>
  <c r="A277" i="1"/>
  <c r="A270" i="6" s="1"/>
  <c r="A278" i="1"/>
  <c r="A271" i="6" s="1"/>
  <c r="A279" i="1"/>
  <c r="A272" i="6" s="1"/>
  <c r="A280" i="1"/>
  <c r="A273" i="6" s="1"/>
  <c r="A281" i="1"/>
  <c r="A274" i="6" s="1"/>
  <c r="A282" i="1"/>
  <c r="A275" i="6" s="1"/>
  <c r="A283" i="1"/>
  <c r="A276" i="6" s="1"/>
  <c r="A284" i="1"/>
  <c r="A277" i="6" s="1"/>
  <c r="A285" i="1"/>
  <c r="A278" i="6" s="1"/>
  <c r="A286" i="1"/>
  <c r="A279" i="6" s="1"/>
  <c r="A287" i="1"/>
  <c r="A280" i="6" s="1"/>
  <c r="A288" i="1"/>
  <c r="A281" i="6" s="1"/>
  <c r="A289" i="1"/>
  <c r="A282" i="6" s="1"/>
  <c r="A290" i="1"/>
  <c r="A283" i="6" s="1"/>
  <c r="A291" i="1"/>
  <c r="A284" i="6" s="1"/>
  <c r="A292" i="1"/>
  <c r="A285" i="6" s="1"/>
  <c r="A293" i="1"/>
  <c r="A286" i="6" s="1"/>
  <c r="A294" i="1"/>
  <c r="A287" i="6" s="1"/>
  <c r="A295" i="1"/>
  <c r="A288" i="6" s="1"/>
  <c r="A296" i="1"/>
  <c r="A289" i="6" s="1"/>
  <c r="A297" i="1"/>
  <c r="A290" i="6" s="1"/>
  <c r="A298" i="1"/>
  <c r="A291" i="6" s="1"/>
  <c r="A299" i="1"/>
  <c r="A292" i="6" s="1"/>
  <c r="A300" i="1"/>
  <c r="A293" i="6" s="1"/>
  <c r="A301" i="1"/>
  <c r="A294" i="6" s="1"/>
  <c r="A302" i="1"/>
  <c r="A295" i="6" s="1"/>
  <c r="A303" i="1"/>
  <c r="A296" i="6" s="1"/>
  <c r="A304" i="1"/>
  <c r="A297" i="6" s="1"/>
  <c r="A305" i="1"/>
  <c r="A298" i="6" s="1"/>
  <c r="A306" i="1"/>
  <c r="A299" i="6" s="1"/>
  <c r="A307" i="1"/>
  <c r="A300" i="6" s="1"/>
  <c r="A308" i="1"/>
  <c r="A301" i="6" s="1"/>
  <c r="A309" i="1"/>
  <c r="A302" i="6" s="1"/>
  <c r="A310" i="1"/>
  <c r="A303" i="6" s="1"/>
  <c r="A311" i="1"/>
  <c r="A304" i="6" s="1"/>
  <c r="A312" i="1"/>
  <c r="A305" i="6" s="1"/>
  <c r="A313" i="1"/>
  <c r="A306" i="6" s="1"/>
  <c r="A314" i="1"/>
  <c r="A307" i="6" s="1"/>
  <c r="A315" i="1"/>
  <c r="A308" i="6" s="1"/>
  <c r="A316" i="1"/>
  <c r="A309" i="6" s="1"/>
  <c r="A317" i="1"/>
  <c r="A310" i="6" s="1"/>
  <c r="A318" i="1"/>
  <c r="A311" i="6" s="1"/>
  <c r="A319" i="1"/>
  <c r="A312" i="6" s="1"/>
  <c r="A320" i="1"/>
  <c r="A313" i="6" s="1"/>
  <c r="A321" i="1"/>
  <c r="A314" i="6" s="1"/>
  <c r="A322" i="1"/>
  <c r="A315" i="6" s="1"/>
  <c r="A323" i="1"/>
  <c r="A316" i="6" s="1"/>
  <c r="A324" i="1"/>
  <c r="A317" i="6" s="1"/>
  <c r="A325" i="1"/>
  <c r="A318" i="6" s="1"/>
  <c r="A326" i="1"/>
  <c r="A319" i="6" s="1"/>
  <c r="A327" i="1"/>
  <c r="A320" i="6" s="1"/>
  <c r="A328" i="1"/>
  <c r="A321" i="6" s="1"/>
  <c r="A329" i="1"/>
  <c r="A322" i="6" s="1"/>
  <c r="A330" i="1"/>
  <c r="A323" i="6" s="1"/>
  <c r="A331" i="1"/>
  <c r="A324" i="6" s="1"/>
  <c r="A332" i="1"/>
  <c r="A325" i="6" s="1"/>
  <c r="A333" i="1"/>
  <c r="A326" i="6" s="1"/>
  <c r="A334" i="1"/>
  <c r="A327" i="6" s="1"/>
  <c r="A335" i="1"/>
  <c r="A328" i="6" s="1"/>
  <c r="A336" i="1"/>
  <c r="A329" i="6" s="1"/>
  <c r="A337" i="1"/>
  <c r="A330" i="6" s="1"/>
  <c r="A338" i="1"/>
  <c r="A331" i="6" s="1"/>
  <c r="A339" i="1"/>
  <c r="A332" i="6" s="1"/>
  <c r="A340" i="1"/>
  <c r="A333" i="6" s="1"/>
  <c r="A341" i="1"/>
  <c r="A334" i="6" s="1"/>
  <c r="A342" i="1"/>
  <c r="A335" i="6" s="1"/>
  <c r="A343" i="1"/>
  <c r="A336" i="6" s="1"/>
  <c r="A344" i="1"/>
  <c r="A337" i="6" s="1"/>
  <c r="A345" i="1"/>
  <c r="A338" i="6" s="1"/>
  <c r="A346" i="1"/>
  <c r="A339" i="6" s="1"/>
  <c r="A347" i="1"/>
  <c r="A340" i="6" s="1"/>
  <c r="A348" i="1"/>
  <c r="A341" i="6" s="1"/>
  <c r="A349" i="1"/>
  <c r="A342" i="6" s="1"/>
  <c r="A350" i="1"/>
  <c r="A343" i="6" s="1"/>
  <c r="A351" i="1"/>
  <c r="A344" i="6" s="1"/>
  <c r="A352" i="1"/>
  <c r="A345" i="6" s="1"/>
  <c r="A353" i="1"/>
  <c r="A346" i="6" s="1"/>
  <c r="A354" i="1"/>
  <c r="A347" i="6" s="1"/>
  <c r="A355" i="1"/>
  <c r="A348" i="6" s="1"/>
  <c r="A356" i="1"/>
  <c r="A349" i="6" s="1"/>
  <c r="A357" i="1"/>
  <c r="A350" i="6" s="1"/>
  <c r="A358" i="1"/>
  <c r="A351" i="6" s="1"/>
  <c r="A359" i="1"/>
  <c r="A352" i="6" s="1"/>
  <c r="A360" i="1"/>
  <c r="A353" i="6" s="1"/>
  <c r="A361" i="1"/>
  <c r="A354" i="6" s="1"/>
  <c r="A362" i="1"/>
  <c r="A355" i="6" s="1"/>
  <c r="A363" i="1"/>
  <c r="A356" i="6" s="1"/>
  <c r="A364" i="1"/>
  <c r="A357" i="6" s="1"/>
  <c r="A365" i="1"/>
  <c r="A358" i="6" s="1"/>
  <c r="A366" i="1"/>
  <c r="A359" i="6" s="1"/>
  <c r="A367" i="1"/>
  <c r="A360" i="6" s="1"/>
  <c r="A368" i="1"/>
  <c r="A361" i="6" s="1"/>
  <c r="A369" i="1"/>
  <c r="A362" i="6" s="1"/>
  <c r="A370" i="1"/>
  <c r="A363" i="6" s="1"/>
  <c r="A371" i="1"/>
  <c r="A364" i="6" s="1"/>
  <c r="A372" i="1"/>
  <c r="A365" i="6" s="1"/>
  <c r="A373" i="1"/>
  <c r="A366" i="6" s="1"/>
  <c r="A374" i="1"/>
  <c r="A367" i="6" s="1"/>
  <c r="A375" i="1"/>
  <c r="A368" i="6" s="1"/>
  <c r="A376" i="1"/>
  <c r="A369" i="6" s="1"/>
  <c r="A377" i="1"/>
  <c r="A370" i="6" s="1"/>
  <c r="A378" i="1"/>
  <c r="A371" i="6" s="1"/>
  <c r="A379" i="1"/>
  <c r="A372" i="6" s="1"/>
  <c r="A380" i="1"/>
  <c r="A373" i="6" s="1"/>
  <c r="A381" i="1"/>
  <c r="A374" i="6" s="1"/>
  <c r="A382" i="1"/>
  <c r="A375" i="6" s="1"/>
  <c r="A383" i="1"/>
  <c r="A376" i="6" s="1"/>
  <c r="A384" i="1"/>
  <c r="A377" i="6" s="1"/>
  <c r="A385" i="1"/>
  <c r="A378" i="6" s="1"/>
  <c r="A386" i="1"/>
  <c r="A379" i="6" s="1"/>
  <c r="A387" i="1"/>
  <c r="A380" i="6" s="1"/>
  <c r="A388" i="1"/>
  <c r="A381" i="6" s="1"/>
  <c r="A389" i="1"/>
  <c r="A382" i="6" s="1"/>
  <c r="A390" i="1"/>
  <c r="A383" i="6" s="1"/>
  <c r="A391" i="1"/>
  <c r="A384" i="6" s="1"/>
  <c r="A392" i="1"/>
  <c r="A385" i="6" s="1"/>
  <c r="A393" i="1"/>
  <c r="A386" i="6" s="1"/>
  <c r="A394" i="1"/>
  <c r="A387" i="6" s="1"/>
  <c r="A395" i="1"/>
  <c r="A388" i="6" s="1"/>
  <c r="A396" i="1"/>
  <c r="A389" i="6" s="1"/>
  <c r="A397" i="1"/>
  <c r="A390" i="6" s="1"/>
  <c r="A398" i="1"/>
  <c r="A391" i="6" s="1"/>
  <c r="A399" i="1"/>
  <c r="A392" i="6" s="1"/>
  <c r="A400" i="1"/>
  <c r="A393" i="6" s="1"/>
  <c r="A401" i="1"/>
  <c r="A394" i="6" s="1"/>
  <c r="A402" i="1"/>
  <c r="A395" i="6" s="1"/>
  <c r="A403" i="1"/>
  <c r="A396" i="6" s="1"/>
  <c r="A404" i="1"/>
  <c r="A397" i="6" s="1"/>
  <c r="A405" i="1"/>
  <c r="A398" i="6" s="1"/>
  <c r="A406" i="1"/>
  <c r="A399" i="6" s="1"/>
  <c r="A407" i="1"/>
  <c r="A400" i="6" s="1"/>
  <c r="A408" i="1"/>
  <c r="A401" i="6" s="1"/>
  <c r="A409" i="1"/>
  <c r="A402" i="6" s="1"/>
  <c r="A410" i="1"/>
  <c r="A403" i="6" s="1"/>
  <c r="A411" i="1"/>
  <c r="A404" i="6" s="1"/>
  <c r="A412" i="1"/>
  <c r="A405" i="6" s="1"/>
  <c r="A413" i="1"/>
  <c r="A406" i="6" s="1"/>
  <c r="A414" i="1"/>
  <c r="A407" i="6" s="1"/>
  <c r="A415" i="1"/>
  <c r="A408" i="6" s="1"/>
  <c r="A416" i="1"/>
  <c r="A409" i="6" s="1"/>
  <c r="A417" i="1"/>
  <c r="A410" i="6" s="1"/>
  <c r="A418" i="1"/>
  <c r="A411" i="6" s="1"/>
  <c r="A419" i="1"/>
  <c r="A412" i="6" s="1"/>
  <c r="A420" i="1"/>
  <c r="A413" i="6" s="1"/>
  <c r="A421" i="1"/>
  <c r="A414" i="6" s="1"/>
  <c r="A422" i="1"/>
  <c r="A415" i="6" s="1"/>
  <c r="A423" i="1"/>
  <c r="A416" i="6" s="1"/>
  <c r="A424" i="1"/>
  <c r="A417" i="6" s="1"/>
  <c r="A425" i="1"/>
  <c r="A418" i="6" s="1"/>
  <c r="A426" i="1"/>
  <c r="A419" i="6" s="1"/>
  <c r="A427" i="1"/>
  <c r="A420" i="6" s="1"/>
  <c r="A428" i="1"/>
  <c r="A421" i="6" s="1"/>
  <c r="A429" i="1"/>
  <c r="A422" i="6" s="1"/>
  <c r="A430" i="1"/>
  <c r="A423" i="6" s="1"/>
  <c r="A431" i="1"/>
  <c r="A424" i="6" s="1"/>
  <c r="A432" i="1"/>
  <c r="A425" i="6" s="1"/>
  <c r="A433" i="1"/>
  <c r="A426" i="6" s="1"/>
  <c r="A434" i="1"/>
  <c r="A427" i="6" s="1"/>
  <c r="A435" i="1"/>
  <c r="A428" i="6" s="1"/>
  <c r="A436" i="1"/>
  <c r="A429" i="6" s="1"/>
  <c r="A437" i="1"/>
  <c r="A430" i="6" s="1"/>
  <c r="A438" i="1"/>
  <c r="A431" i="6" s="1"/>
  <c r="A439" i="1"/>
  <c r="A432" i="6" s="1"/>
  <c r="A440" i="1"/>
  <c r="A433" i="6" s="1"/>
  <c r="A441" i="1"/>
  <c r="A434" i="6" s="1"/>
  <c r="A442" i="1"/>
  <c r="A435" i="6" s="1"/>
  <c r="A443" i="1"/>
  <c r="A436" i="6" s="1"/>
  <c r="A444" i="1"/>
  <c r="A437" i="6" s="1"/>
  <c r="A445" i="1"/>
  <c r="A438" i="6" s="1"/>
  <c r="A446" i="1"/>
  <c r="A439" i="6" s="1"/>
  <c r="A447" i="1"/>
  <c r="A440" i="6" s="1"/>
  <c r="A448" i="1"/>
  <c r="A441" i="6" s="1"/>
  <c r="A449" i="1"/>
  <c r="A442" i="6" s="1"/>
  <c r="A450" i="1"/>
  <c r="A443" i="6" s="1"/>
  <c r="A451" i="1"/>
  <c r="A444" i="6" s="1"/>
  <c r="A452" i="1"/>
  <c r="A445" i="6" s="1"/>
  <c r="A453" i="1"/>
  <c r="A446" i="6" s="1"/>
  <c r="A454" i="1"/>
  <c r="A447" i="6" s="1"/>
  <c r="A455" i="1"/>
  <c r="A448" i="6" s="1"/>
  <c r="A456" i="1"/>
  <c r="A449" i="6" s="1"/>
  <c r="A457" i="1"/>
  <c r="A450" i="6" s="1"/>
  <c r="A458" i="1"/>
  <c r="A451" i="6" s="1"/>
  <c r="A459" i="1"/>
  <c r="A452" i="6" s="1"/>
  <c r="A460" i="1"/>
  <c r="A453" i="6" s="1"/>
  <c r="A461" i="1"/>
  <c r="A454" i="6" s="1"/>
  <c r="A462" i="1"/>
  <c r="A455" i="6" s="1"/>
  <c r="A463" i="1"/>
  <c r="A456" i="6" s="1"/>
  <c r="A464" i="1"/>
  <c r="A457" i="6" s="1"/>
  <c r="A465" i="1"/>
  <c r="A458" i="6" s="1"/>
  <c r="A466" i="1"/>
  <c r="A459" i="6" s="1"/>
  <c r="A467" i="1"/>
  <c r="A460" i="6" s="1"/>
  <c r="A468" i="1"/>
  <c r="A461" i="6" s="1"/>
  <c r="A469" i="1"/>
  <c r="A462" i="6" s="1"/>
  <c r="A470" i="1"/>
  <c r="A463" i="6" s="1"/>
  <c r="A471" i="1"/>
  <c r="A464" i="6" s="1"/>
  <c r="A472" i="1"/>
  <c r="A465" i="6" s="1"/>
  <c r="A473" i="1"/>
  <c r="A466" i="6" s="1"/>
  <c r="A474" i="1"/>
  <c r="A467" i="6" s="1"/>
  <c r="A475" i="1"/>
  <c r="A468" i="6" s="1"/>
  <c r="A476" i="1"/>
  <c r="A469" i="6" s="1"/>
  <c r="A477" i="1"/>
  <c r="A470" i="6" s="1"/>
  <c r="A478" i="1"/>
  <c r="A471" i="6" s="1"/>
  <c r="A479" i="1"/>
  <c r="A472" i="6" s="1"/>
  <c r="A480" i="1"/>
  <c r="A473" i="6" s="1"/>
  <c r="A481" i="1"/>
  <c r="A474" i="6" s="1"/>
  <c r="A482" i="1"/>
  <c r="A475" i="6" s="1"/>
  <c r="A483" i="1"/>
  <c r="A476" i="6" s="1"/>
  <c r="A484" i="1"/>
  <c r="A477" i="6" s="1"/>
  <c r="A485" i="1"/>
  <c r="A478" i="6" s="1"/>
  <c r="A486" i="1"/>
  <c r="A479" i="6" s="1"/>
  <c r="A487" i="1"/>
  <c r="A480" i="6" s="1"/>
  <c r="A488" i="1"/>
  <c r="A481" i="6" s="1"/>
  <c r="A489" i="1"/>
  <c r="A482" i="6" s="1"/>
  <c r="A490" i="1"/>
  <c r="A483" i="6" s="1"/>
  <c r="A491" i="1"/>
  <c r="A484" i="6" s="1"/>
  <c r="A492" i="1"/>
  <c r="A485" i="6" s="1"/>
  <c r="A493" i="1"/>
  <c r="A486" i="6" s="1"/>
  <c r="A494" i="1"/>
  <c r="A487" i="6" s="1"/>
  <c r="A495" i="1"/>
  <c r="A488" i="6" s="1"/>
  <c r="A496" i="1"/>
  <c r="A489" i="6" s="1"/>
  <c r="A497" i="1"/>
  <c r="A490" i="6" s="1"/>
  <c r="A498" i="1"/>
  <c r="A491" i="6" s="1"/>
  <c r="A499" i="1"/>
  <c r="A492" i="6" s="1"/>
  <c r="A500" i="1"/>
  <c r="A493" i="6" s="1"/>
  <c r="A501" i="1"/>
  <c r="A494" i="6" s="1"/>
  <c r="A502" i="1"/>
  <c r="A495" i="6" s="1"/>
  <c r="A503" i="1"/>
  <c r="A496" i="6" s="1"/>
  <c r="A504" i="1"/>
  <c r="A497" i="6" s="1"/>
  <c r="A505" i="1"/>
  <c r="A498" i="6" s="1"/>
  <c r="A506" i="1"/>
  <c r="A499" i="6" s="1"/>
  <c r="A507" i="1"/>
  <c r="A500" i="6" s="1"/>
  <c r="A508" i="1"/>
  <c r="A501" i="6" s="1"/>
  <c r="A509" i="1"/>
  <c r="A502" i="6" s="1"/>
  <c r="A510" i="1"/>
  <c r="A503" i="6" s="1"/>
  <c r="A511" i="1"/>
  <c r="A504" i="6" s="1"/>
  <c r="A512" i="1"/>
  <c r="A505" i="6" s="1"/>
  <c r="A513" i="1"/>
  <c r="A506" i="6" s="1"/>
  <c r="A514" i="1"/>
  <c r="A507" i="6" s="1"/>
  <c r="A515" i="1"/>
  <c r="A508" i="6" s="1"/>
  <c r="A516" i="1"/>
  <c r="A509" i="6" s="1"/>
  <c r="A517" i="1"/>
  <c r="A510" i="6" s="1"/>
  <c r="A518" i="1"/>
  <c r="A511" i="6" s="1"/>
  <c r="A519" i="1"/>
  <c r="A512" i="6" s="1"/>
  <c r="A520" i="1"/>
  <c r="A513" i="6" s="1"/>
  <c r="A521" i="1"/>
  <c r="A514" i="6" s="1"/>
  <c r="A522" i="1"/>
  <c r="A515" i="6" s="1"/>
  <c r="A523" i="1"/>
  <c r="A516" i="6" s="1"/>
  <c r="A524" i="1"/>
  <c r="A517" i="6" s="1"/>
  <c r="A525" i="1"/>
  <c r="A518" i="6" s="1"/>
  <c r="A526" i="1"/>
  <c r="A519" i="6" s="1"/>
  <c r="A527" i="1"/>
  <c r="A520" i="6" s="1"/>
  <c r="A528" i="1"/>
  <c r="A521" i="6" s="1"/>
  <c r="A529" i="1"/>
  <c r="A522" i="6" s="1"/>
  <c r="A530" i="1"/>
  <c r="A523" i="6" s="1"/>
  <c r="A531" i="1"/>
  <c r="A524" i="6" s="1"/>
  <c r="A532" i="1"/>
  <c r="A525" i="6" s="1"/>
  <c r="A533" i="1"/>
  <c r="A526" i="6" s="1"/>
  <c r="A534" i="1"/>
  <c r="A527" i="6" s="1"/>
  <c r="A535" i="1"/>
  <c r="A528" i="6" s="1"/>
  <c r="A536" i="1"/>
  <c r="A529" i="6" s="1"/>
  <c r="A537" i="1"/>
  <c r="A530" i="6" s="1"/>
  <c r="A538" i="1"/>
  <c r="A531" i="6" s="1"/>
  <c r="A539" i="1"/>
  <c r="A532" i="6" s="1"/>
  <c r="A540" i="1"/>
  <c r="A533" i="6" s="1"/>
  <c r="A541" i="1"/>
  <c r="A534" i="6" s="1"/>
  <c r="A542" i="1"/>
  <c r="A535" i="6" s="1"/>
  <c r="A543" i="1"/>
  <c r="A536" i="6" s="1"/>
  <c r="A544" i="1"/>
  <c r="A537" i="6" s="1"/>
  <c r="A545" i="1"/>
  <c r="A538" i="6" s="1"/>
  <c r="A546" i="1"/>
  <c r="A539" i="6" s="1"/>
  <c r="A547" i="1"/>
  <c r="A540" i="6" s="1"/>
  <c r="A548" i="1"/>
  <c r="A541" i="6" s="1"/>
  <c r="A549" i="1"/>
  <c r="A542" i="6" s="1"/>
  <c r="A550" i="1"/>
  <c r="A543" i="6" s="1"/>
  <c r="A551" i="1"/>
  <c r="A544" i="6" s="1"/>
  <c r="A552" i="1"/>
  <c r="A545" i="6" s="1"/>
  <c r="A553" i="1"/>
  <c r="A546" i="6" s="1"/>
  <c r="A554" i="1"/>
  <c r="A547" i="6" s="1"/>
  <c r="A555" i="1"/>
  <c r="A548" i="6" s="1"/>
  <c r="A556" i="1"/>
  <c r="A549" i="6" s="1"/>
  <c r="A557" i="1"/>
  <c r="A550" i="6" s="1"/>
  <c r="A558" i="1"/>
  <c r="A551" i="6" s="1"/>
  <c r="A559" i="1"/>
  <c r="A552" i="6" s="1"/>
  <c r="A560" i="1"/>
  <c r="A553" i="6" s="1"/>
  <c r="A561" i="1"/>
  <c r="A554" i="6" s="1"/>
  <c r="A562" i="1"/>
  <c r="A555" i="6" s="1"/>
  <c r="A563" i="1"/>
  <c r="A556" i="6" s="1"/>
  <c r="A564" i="1"/>
  <c r="A557" i="6" s="1"/>
  <c r="A565" i="1"/>
  <c r="A558" i="6" s="1"/>
  <c r="A566" i="1"/>
  <c r="A559" i="6" s="1"/>
  <c r="A567" i="1"/>
  <c r="A560" i="6" s="1"/>
  <c r="A568" i="1"/>
  <c r="A561" i="6" s="1"/>
  <c r="A569" i="1"/>
  <c r="A562" i="6" s="1"/>
  <c r="A570" i="1"/>
  <c r="A563" i="6" s="1"/>
  <c r="A571" i="1"/>
  <c r="A564" i="6" s="1"/>
  <c r="A572" i="1"/>
  <c r="A565" i="6" s="1"/>
  <c r="A573" i="1"/>
  <c r="A566" i="6" s="1"/>
  <c r="A574" i="1"/>
  <c r="A567" i="6" s="1"/>
  <c r="A575" i="1"/>
  <c r="A568" i="6" s="1"/>
  <c r="A576" i="1"/>
  <c r="A569" i="6" s="1"/>
  <c r="A577" i="1"/>
  <c r="A570" i="6" s="1"/>
  <c r="A578" i="1"/>
  <c r="A571" i="6" s="1"/>
  <c r="A579" i="1"/>
  <c r="A572" i="6" s="1"/>
  <c r="A580" i="1"/>
  <c r="A573" i="6" s="1"/>
  <c r="A581" i="1"/>
  <c r="A574" i="6" s="1"/>
  <c r="A582" i="1"/>
  <c r="A575" i="6" s="1"/>
  <c r="A583" i="1"/>
  <c r="A576" i="6" s="1"/>
  <c r="A584" i="1"/>
  <c r="A577" i="6" s="1"/>
  <c r="A585" i="1"/>
  <c r="A578" i="6" s="1"/>
  <c r="A586" i="1"/>
  <c r="A579" i="6" s="1"/>
  <c r="A587" i="1"/>
  <c r="A580" i="6" s="1"/>
  <c r="A588" i="1"/>
  <c r="A581" i="6" s="1"/>
  <c r="A589" i="1"/>
  <c r="A582" i="6" s="1"/>
  <c r="A590" i="1"/>
  <c r="A583" i="6" s="1"/>
  <c r="A591" i="1"/>
  <c r="A584" i="6" s="1"/>
  <c r="A592" i="1"/>
  <c r="A585" i="6" s="1"/>
  <c r="A593" i="1"/>
  <c r="A586" i="6" s="1"/>
  <c r="A594" i="1"/>
  <c r="A587" i="6" s="1"/>
  <c r="A595" i="1"/>
  <c r="A588" i="6" s="1"/>
  <c r="A596" i="1"/>
  <c r="A589" i="6" s="1"/>
  <c r="A597" i="1"/>
  <c r="A590" i="6" s="1"/>
  <c r="A598" i="1"/>
  <c r="A591" i="6" s="1"/>
  <c r="A599" i="1"/>
  <c r="A592" i="6" s="1"/>
  <c r="A600" i="1"/>
  <c r="A593" i="6" s="1"/>
  <c r="A601" i="1"/>
  <c r="A594" i="6" s="1"/>
  <c r="A602" i="1"/>
  <c r="A595" i="6" s="1"/>
  <c r="A603" i="1"/>
  <c r="A596" i="6" s="1"/>
  <c r="A604" i="1"/>
  <c r="A597" i="6" s="1"/>
  <c r="A605" i="1"/>
  <c r="A598" i="6" s="1"/>
  <c r="A606" i="1"/>
  <c r="A599" i="6" s="1"/>
  <c r="A607" i="1"/>
  <c r="A600" i="6" s="1"/>
  <c r="A608" i="1"/>
  <c r="A601" i="6" s="1"/>
  <c r="A609" i="1"/>
  <c r="A602" i="6" s="1"/>
  <c r="A610" i="1"/>
  <c r="A603" i="6" s="1"/>
  <c r="A611" i="1"/>
  <c r="A604" i="6" s="1"/>
  <c r="A612" i="1"/>
  <c r="A605" i="6" s="1"/>
  <c r="A613" i="1"/>
  <c r="A606" i="6" s="1"/>
  <c r="A614" i="1"/>
  <c r="A607" i="6" s="1"/>
  <c r="A615" i="1"/>
  <c r="A608" i="6" s="1"/>
  <c r="A616" i="1"/>
  <c r="A609" i="6" s="1"/>
  <c r="A617" i="1"/>
  <c r="A610" i="6" s="1"/>
  <c r="A618" i="1"/>
  <c r="A611" i="6" s="1"/>
  <c r="A619" i="1"/>
  <c r="A612" i="6" s="1"/>
  <c r="A620" i="1"/>
  <c r="A613" i="6" s="1"/>
  <c r="A621" i="1"/>
  <c r="A614" i="6" s="1"/>
  <c r="A622" i="1"/>
  <c r="A615" i="6" s="1"/>
  <c r="A623" i="1"/>
  <c r="A616" i="6" s="1"/>
  <c r="A624" i="1"/>
  <c r="A617" i="6" s="1"/>
  <c r="A625" i="1"/>
  <c r="A618" i="6" s="1"/>
  <c r="A626" i="1"/>
  <c r="A619" i="6" s="1"/>
  <c r="A627" i="1"/>
  <c r="A620" i="6" s="1"/>
  <c r="A628" i="1"/>
  <c r="A621" i="6" s="1"/>
  <c r="A629" i="1"/>
  <c r="A622" i="6" s="1"/>
  <c r="A630" i="1"/>
  <c r="A623" i="6" s="1"/>
  <c r="A631" i="1"/>
  <c r="A624" i="6" s="1"/>
  <c r="A632" i="1"/>
  <c r="A625" i="6" s="1"/>
  <c r="A633" i="1"/>
  <c r="A626" i="6" s="1"/>
  <c r="A634" i="1"/>
  <c r="A627" i="6" s="1"/>
  <c r="A635" i="1"/>
  <c r="A628" i="6" s="1"/>
  <c r="A636" i="1"/>
  <c r="A629" i="6" s="1"/>
  <c r="A637" i="1"/>
  <c r="A630" i="6" s="1"/>
  <c r="A638" i="1"/>
  <c r="A631" i="6" s="1"/>
  <c r="A639" i="1"/>
  <c r="A632" i="6" s="1"/>
  <c r="A640" i="1"/>
  <c r="A633" i="6" s="1"/>
  <c r="A641" i="1"/>
  <c r="A634" i="6" s="1"/>
  <c r="A642" i="1"/>
  <c r="A635" i="6" s="1"/>
  <c r="A643" i="1"/>
  <c r="A636" i="6" s="1"/>
  <c r="A644" i="1"/>
  <c r="A637" i="6" s="1"/>
  <c r="A645" i="1"/>
  <c r="A638" i="6" s="1"/>
  <c r="A646" i="1"/>
  <c r="A639" i="6" s="1"/>
  <c r="A647" i="1"/>
  <c r="A640" i="6" s="1"/>
  <c r="A648" i="1"/>
  <c r="A641" i="6" s="1"/>
  <c r="A649" i="1"/>
  <c r="A642" i="6" s="1"/>
  <c r="A650" i="1"/>
  <c r="A643" i="6" s="1"/>
  <c r="A651" i="1"/>
  <c r="A644" i="6" s="1"/>
  <c r="A652" i="1"/>
  <c r="A645" i="6" s="1"/>
  <c r="A653" i="1"/>
  <c r="A646" i="6" s="1"/>
  <c r="A654" i="1"/>
  <c r="A647" i="6" s="1"/>
  <c r="A655" i="1"/>
  <c r="A648" i="6" s="1"/>
  <c r="A656" i="1"/>
  <c r="A649" i="6" s="1"/>
  <c r="A657" i="1"/>
  <c r="A650" i="6" s="1"/>
  <c r="A658" i="1"/>
  <c r="A651" i="6" s="1"/>
  <c r="A659" i="1"/>
  <c r="A652" i="6" s="1"/>
  <c r="A660" i="1"/>
  <c r="A653" i="6" s="1"/>
  <c r="A661" i="1"/>
  <c r="A654" i="6" s="1"/>
  <c r="A662" i="1"/>
  <c r="A655" i="6" s="1"/>
  <c r="A663" i="1"/>
  <c r="A656" i="6" s="1"/>
  <c r="A664" i="1"/>
  <c r="A657" i="6" s="1"/>
  <c r="A665" i="1"/>
  <c r="A658" i="6" s="1"/>
  <c r="A666" i="1"/>
  <c r="A659" i="6" s="1"/>
  <c r="A667" i="1"/>
  <c r="A660" i="6" s="1"/>
  <c r="A668" i="1"/>
  <c r="A661" i="6" s="1"/>
  <c r="A669" i="1"/>
  <c r="A662" i="6" s="1"/>
  <c r="A670" i="1"/>
  <c r="A663" i="6" s="1"/>
  <c r="A671" i="1"/>
  <c r="A664" i="6" s="1"/>
  <c r="A672" i="1"/>
  <c r="A665" i="6" s="1"/>
  <c r="A673" i="1"/>
  <c r="A666" i="6" s="1"/>
  <c r="A674" i="1"/>
  <c r="A667" i="6" s="1"/>
  <c r="A675" i="1"/>
  <c r="A668" i="6" s="1"/>
  <c r="A676" i="1"/>
  <c r="A669" i="6" s="1"/>
  <c r="A677" i="1"/>
  <c r="A670" i="6" s="1"/>
  <c r="A678" i="1"/>
  <c r="A671" i="6" s="1"/>
  <c r="A679" i="1"/>
  <c r="A672" i="6" s="1"/>
  <c r="A680" i="1"/>
  <c r="A673" i="6" s="1"/>
  <c r="A681" i="1"/>
  <c r="A674" i="6" s="1"/>
  <c r="A682" i="1"/>
  <c r="A675" i="6" s="1"/>
  <c r="A683" i="1"/>
  <c r="A676" i="6" s="1"/>
  <c r="A684" i="1"/>
  <c r="A677" i="6" s="1"/>
  <c r="A685" i="1"/>
  <c r="A678" i="6" s="1"/>
  <c r="A686" i="1"/>
  <c r="A679" i="6" s="1"/>
  <c r="A687" i="1"/>
  <c r="A680" i="6" s="1"/>
  <c r="A688" i="1"/>
  <c r="A681" i="6" s="1"/>
  <c r="A689" i="1"/>
  <c r="A682" i="6" s="1"/>
  <c r="A690" i="1"/>
  <c r="A683" i="6" s="1"/>
  <c r="A691" i="1"/>
  <c r="A684" i="6" s="1"/>
  <c r="A692" i="1"/>
  <c r="A685" i="6" s="1"/>
  <c r="A693" i="1"/>
  <c r="A686" i="6" s="1"/>
  <c r="A694" i="1"/>
  <c r="A687" i="6" s="1"/>
  <c r="A695" i="1"/>
  <c r="A688" i="6" s="1"/>
  <c r="A696" i="1"/>
  <c r="A689" i="6" s="1"/>
  <c r="A697" i="1"/>
  <c r="A690" i="6" s="1"/>
  <c r="A698" i="1"/>
  <c r="A691" i="6" s="1"/>
  <c r="A699" i="1"/>
  <c r="A692" i="6" s="1"/>
  <c r="A700" i="1"/>
  <c r="A693" i="6" s="1"/>
  <c r="A701" i="1"/>
  <c r="A694" i="6" s="1"/>
  <c r="A702" i="1"/>
  <c r="A695" i="6" s="1"/>
  <c r="A703" i="1"/>
  <c r="A696" i="6" s="1"/>
  <c r="A704" i="1"/>
  <c r="A697" i="6" s="1"/>
  <c r="A705" i="1"/>
  <c r="A698" i="6" s="1"/>
  <c r="A706" i="1"/>
  <c r="A699" i="6" s="1"/>
  <c r="A707" i="1"/>
  <c r="A700" i="6" s="1"/>
  <c r="A708" i="1"/>
  <c r="A701" i="6" s="1"/>
  <c r="A709" i="1"/>
  <c r="A702" i="6" s="1"/>
  <c r="A710" i="1"/>
  <c r="A703" i="6" s="1"/>
  <c r="A711" i="1"/>
  <c r="A704" i="6" s="1"/>
  <c r="A712" i="1"/>
  <c r="A705" i="6" s="1"/>
  <c r="A713" i="1"/>
  <c r="A706" i="6" s="1"/>
  <c r="A714" i="1"/>
  <c r="A707" i="6" s="1"/>
  <c r="A715" i="1"/>
  <c r="A708" i="6" s="1"/>
  <c r="A716" i="1"/>
  <c r="A709" i="6" s="1"/>
  <c r="A717" i="1"/>
  <c r="A710" i="6" s="1"/>
  <c r="A718" i="1"/>
  <c r="A711" i="6" s="1"/>
  <c r="A719" i="1"/>
  <c r="A712" i="6" s="1"/>
  <c r="A720" i="1"/>
  <c r="A713" i="6" s="1"/>
  <c r="A721" i="1"/>
  <c r="A714" i="6" s="1"/>
  <c r="A722" i="1"/>
  <c r="A715" i="6" s="1"/>
  <c r="A723" i="1"/>
  <c r="A716" i="6" s="1"/>
  <c r="A724" i="1"/>
  <c r="A717" i="6" s="1"/>
  <c r="A725" i="1"/>
  <c r="A718" i="6" s="1"/>
  <c r="A726" i="1"/>
  <c r="A719" i="6" s="1"/>
  <c r="A727" i="1"/>
  <c r="A720" i="6" s="1"/>
  <c r="A728" i="1"/>
  <c r="A721" i="6" s="1"/>
  <c r="A729" i="1"/>
  <c r="A722" i="6" s="1"/>
  <c r="A730" i="1"/>
  <c r="A723" i="6" s="1"/>
  <c r="A731" i="1"/>
  <c r="A724" i="6" s="1"/>
  <c r="A732" i="1"/>
  <c r="A725" i="6" s="1"/>
  <c r="A733" i="1"/>
  <c r="A726" i="6" s="1"/>
  <c r="A734" i="1"/>
  <c r="A727" i="6" s="1"/>
  <c r="A735" i="1"/>
  <c r="A728" i="6" s="1"/>
  <c r="A736" i="1"/>
  <c r="A729" i="6" s="1"/>
  <c r="A737" i="1"/>
  <c r="A730" i="6" s="1"/>
  <c r="A738" i="1"/>
  <c r="A731" i="6" s="1"/>
  <c r="A739" i="1"/>
  <c r="A732" i="6" s="1"/>
  <c r="A740" i="1"/>
  <c r="A733" i="6" s="1"/>
  <c r="A741" i="1"/>
  <c r="A734" i="6" s="1"/>
  <c r="A742" i="1"/>
  <c r="A735" i="6" s="1"/>
  <c r="A743" i="1"/>
  <c r="A736" i="6" s="1"/>
  <c r="A744" i="1"/>
  <c r="A737" i="6" s="1"/>
  <c r="A745" i="1"/>
  <c r="A738" i="6" s="1"/>
  <c r="A746" i="1"/>
  <c r="A739" i="6" s="1"/>
  <c r="A747" i="1"/>
  <c r="A740" i="6" s="1"/>
  <c r="A748" i="1"/>
  <c r="A741" i="6" s="1"/>
  <c r="A749" i="1"/>
  <c r="A742" i="6" s="1"/>
  <c r="A750" i="1"/>
  <c r="A743" i="6" s="1"/>
  <c r="A751" i="1"/>
  <c r="A744" i="6" s="1"/>
  <c r="A752" i="1"/>
  <c r="A745" i="6" s="1"/>
  <c r="A753" i="1"/>
  <c r="A746" i="6" s="1"/>
  <c r="A754" i="1"/>
  <c r="A747" i="6" s="1"/>
  <c r="A755" i="1"/>
  <c r="A748" i="6" s="1"/>
  <c r="A756" i="1"/>
  <c r="A749" i="6" s="1"/>
  <c r="A757" i="1"/>
  <c r="A750" i="6" s="1"/>
  <c r="A758" i="1"/>
  <c r="A751" i="6" s="1"/>
  <c r="A759" i="1"/>
  <c r="A752" i="6" s="1"/>
  <c r="A760" i="1"/>
  <c r="A753" i="6" s="1"/>
  <c r="A761" i="1"/>
  <c r="A754" i="6" s="1"/>
  <c r="A762" i="1"/>
  <c r="A755" i="6" s="1"/>
  <c r="A763" i="1"/>
  <c r="A756" i="6" s="1"/>
  <c r="A764" i="1"/>
  <c r="A757" i="6" s="1"/>
  <c r="A765" i="1"/>
  <c r="A758" i="6" s="1"/>
  <c r="A766" i="1"/>
  <c r="A759" i="6" s="1"/>
  <c r="A767" i="1"/>
  <c r="A760" i="6" s="1"/>
  <c r="A768" i="1"/>
  <c r="A761" i="6" s="1"/>
  <c r="A769" i="1"/>
  <c r="A762" i="6" s="1"/>
  <c r="A770" i="1"/>
  <c r="A763" i="6" s="1"/>
  <c r="A771" i="1"/>
  <c r="A764" i="6" s="1"/>
  <c r="A772" i="1"/>
  <c r="A765" i="6" s="1"/>
  <c r="A773" i="1"/>
  <c r="A766" i="6" s="1"/>
  <c r="A774" i="1"/>
  <c r="A767" i="6" s="1"/>
  <c r="A775" i="1"/>
  <c r="A768" i="6" s="1"/>
  <c r="A776" i="1"/>
  <c r="A769" i="6" s="1"/>
  <c r="A777" i="1"/>
  <c r="A770" i="6" s="1"/>
  <c r="A778" i="1"/>
  <c r="A771" i="6" s="1"/>
  <c r="A779" i="1"/>
  <c r="A772" i="6" s="1"/>
  <c r="A780" i="1"/>
  <c r="A773" i="6" s="1"/>
  <c r="A781" i="1"/>
  <c r="A774" i="6" s="1"/>
  <c r="A782" i="1"/>
  <c r="A775" i="6" s="1"/>
  <c r="A783" i="1"/>
  <c r="A776" i="6" s="1"/>
  <c r="A784" i="1"/>
  <c r="A777" i="6" s="1"/>
  <c r="A785" i="1"/>
  <c r="A778" i="6" s="1"/>
  <c r="A786" i="1"/>
  <c r="A779" i="6" s="1"/>
  <c r="A787" i="1"/>
  <c r="A780" i="6" s="1"/>
  <c r="A788" i="1"/>
  <c r="A781" i="6" s="1"/>
  <c r="A789" i="1"/>
  <c r="A782" i="6" s="1"/>
  <c r="A790" i="1"/>
  <c r="A783" i="6" s="1"/>
  <c r="A791" i="1"/>
  <c r="A784" i="6" s="1"/>
  <c r="A792" i="1"/>
  <c r="A785" i="6" s="1"/>
  <c r="A793" i="1"/>
  <c r="A786" i="6" s="1"/>
  <c r="A794" i="1"/>
  <c r="A787" i="6" s="1"/>
  <c r="A795" i="1"/>
  <c r="A788" i="6" s="1"/>
  <c r="A796" i="1"/>
  <c r="A789" i="6" s="1"/>
  <c r="A797" i="1"/>
  <c r="A790" i="6" s="1"/>
  <c r="A798" i="1"/>
  <c r="A791" i="6" s="1"/>
  <c r="A799" i="1"/>
  <c r="A792" i="6" s="1"/>
  <c r="A800" i="1"/>
  <c r="A793" i="6" s="1"/>
  <c r="A801" i="1"/>
  <c r="A794" i="6" s="1"/>
  <c r="A802" i="1"/>
  <c r="A795" i="6" s="1"/>
  <c r="A803" i="1"/>
  <c r="A796" i="6" s="1"/>
  <c r="A804" i="1"/>
  <c r="A797" i="6" s="1"/>
  <c r="A805" i="1"/>
  <c r="A798" i="6" s="1"/>
  <c r="A806" i="1"/>
  <c r="A799" i="6" s="1"/>
  <c r="A807" i="1"/>
  <c r="A800" i="6" s="1"/>
  <c r="A808" i="1"/>
  <c r="A801" i="6" s="1"/>
  <c r="A809" i="1"/>
  <c r="A802" i="6" s="1"/>
  <c r="A810" i="1"/>
  <c r="A803" i="6" s="1"/>
  <c r="A811" i="1"/>
  <c r="A804" i="6" s="1"/>
  <c r="A812" i="1"/>
  <c r="A805" i="6" s="1"/>
  <c r="A813" i="1"/>
  <c r="A806" i="6" s="1"/>
  <c r="A814" i="1"/>
  <c r="A807" i="6" s="1"/>
  <c r="A815" i="1"/>
  <c r="A808" i="6" s="1"/>
  <c r="A816" i="1"/>
  <c r="A809" i="6" s="1"/>
  <c r="A817" i="1"/>
  <c r="A810" i="6" s="1"/>
  <c r="A818" i="1"/>
  <c r="A811" i="6" s="1"/>
  <c r="A819" i="1"/>
  <c r="A812" i="6" s="1"/>
  <c r="A820" i="1"/>
  <c r="A813" i="6" s="1"/>
  <c r="A821" i="1"/>
  <c r="A814" i="6" s="1"/>
  <c r="A822" i="1"/>
  <c r="A815" i="6" s="1"/>
  <c r="A823" i="1"/>
  <c r="A816" i="6" s="1"/>
  <c r="A824" i="1"/>
  <c r="A817" i="6" s="1"/>
  <c r="A825" i="1"/>
  <c r="A818" i="6" s="1"/>
  <c r="A826" i="1"/>
  <c r="A819" i="6" s="1"/>
  <c r="A827" i="1"/>
  <c r="A820" i="6" s="1"/>
  <c r="A828" i="1"/>
  <c r="A821" i="6" s="1"/>
  <c r="A829" i="1"/>
  <c r="A822" i="6" s="1"/>
  <c r="A830" i="1"/>
  <c r="A823" i="6" s="1"/>
  <c r="A831" i="1"/>
  <c r="A824" i="6" s="1"/>
  <c r="A832" i="1"/>
  <c r="A825" i="6" s="1"/>
  <c r="A833" i="1"/>
  <c r="A826" i="6" s="1"/>
  <c r="A834" i="1"/>
  <c r="A827" i="6" s="1"/>
  <c r="A835" i="1"/>
  <c r="A828" i="6" s="1"/>
  <c r="A836" i="1"/>
  <c r="A829" i="6" s="1"/>
  <c r="A837" i="1"/>
  <c r="A830" i="6" s="1"/>
  <c r="A838" i="1"/>
  <c r="A831" i="6" s="1"/>
  <c r="A839" i="1"/>
  <c r="A832" i="6" s="1"/>
  <c r="A840" i="1"/>
  <c r="A833" i="6" s="1"/>
  <c r="A841" i="1"/>
  <c r="A834" i="6" s="1"/>
  <c r="A842" i="1"/>
  <c r="A835" i="6" s="1"/>
  <c r="A843" i="1"/>
  <c r="A836" i="6" s="1"/>
  <c r="A844" i="1"/>
  <c r="A837" i="6" s="1"/>
  <c r="A845" i="1"/>
  <c r="A838" i="6" s="1"/>
  <c r="A846" i="1"/>
  <c r="A839" i="6" s="1"/>
  <c r="A847" i="1"/>
  <c r="A840" i="6" s="1"/>
  <c r="A848" i="1"/>
  <c r="A841" i="6" s="1"/>
  <c r="A849" i="1"/>
  <c r="A842" i="6" s="1"/>
  <c r="A850" i="1"/>
  <c r="A843" i="6" s="1"/>
  <c r="A851" i="1"/>
  <c r="A844" i="6" s="1"/>
  <c r="A852" i="1"/>
  <c r="A845" i="6" s="1"/>
  <c r="A853" i="1"/>
  <c r="A846" i="6" s="1"/>
  <c r="A854" i="1"/>
  <c r="A847" i="6" s="1"/>
  <c r="A855" i="1"/>
  <c r="A848" i="6" s="1"/>
  <c r="A856" i="1"/>
  <c r="A849" i="6" s="1"/>
  <c r="A857" i="1"/>
  <c r="A850" i="6" s="1"/>
  <c r="A858" i="1"/>
  <c r="A851" i="6" s="1"/>
  <c r="A859" i="1"/>
  <c r="A852" i="6" s="1"/>
  <c r="A860" i="1"/>
  <c r="A853" i="6" s="1"/>
  <c r="A861" i="1"/>
  <c r="A854" i="6" s="1"/>
  <c r="A862" i="1"/>
  <c r="A855" i="6" s="1"/>
  <c r="A863" i="1"/>
  <c r="A856" i="6" s="1"/>
  <c r="A864" i="1"/>
  <c r="A857" i="6" s="1"/>
  <c r="A865" i="1"/>
  <c r="A858" i="6" s="1"/>
  <c r="A866" i="1"/>
  <c r="A859" i="6" s="1"/>
  <c r="A867" i="1"/>
  <c r="A860" i="6" s="1"/>
  <c r="A868" i="1"/>
  <c r="A861" i="6" s="1"/>
  <c r="A869" i="1"/>
  <c r="A862" i="6" s="1"/>
  <c r="A870" i="1"/>
  <c r="A863" i="6" s="1"/>
  <c r="A871" i="1"/>
  <c r="A864" i="6" s="1"/>
  <c r="A872" i="1"/>
  <c r="A865" i="6" s="1"/>
  <c r="A873" i="1"/>
  <c r="A866" i="6" s="1"/>
  <c r="A874" i="1"/>
  <c r="A867" i="6" s="1"/>
  <c r="A875" i="1"/>
  <c r="A868" i="6" s="1"/>
  <c r="A876" i="1"/>
  <c r="A869" i="6" s="1"/>
  <c r="A877" i="1"/>
  <c r="A870" i="6" s="1"/>
  <c r="A878" i="1"/>
  <c r="A871" i="6" s="1"/>
  <c r="A879" i="1"/>
  <c r="A872" i="6" s="1"/>
  <c r="A880" i="1"/>
  <c r="A873" i="6" s="1"/>
  <c r="A881" i="1"/>
  <c r="A874" i="6" s="1"/>
  <c r="A882" i="1"/>
  <c r="A875" i="6" s="1"/>
  <c r="A883" i="1"/>
  <c r="A876" i="6" s="1"/>
  <c r="A884" i="1"/>
  <c r="A877" i="6" s="1"/>
  <c r="A885" i="1"/>
  <c r="A878" i="6" s="1"/>
  <c r="A886" i="1"/>
  <c r="A879" i="6" s="1"/>
  <c r="A887" i="1"/>
  <c r="A880" i="6" s="1"/>
  <c r="A888" i="1"/>
  <c r="A881" i="6" s="1"/>
  <c r="A889" i="1"/>
  <c r="A882" i="6" s="1"/>
  <c r="A890" i="1"/>
  <c r="A883" i="6" s="1"/>
  <c r="A891" i="1"/>
  <c r="A884" i="6" s="1"/>
  <c r="A892" i="1"/>
  <c r="A885" i="6" s="1"/>
  <c r="A893" i="1"/>
  <c r="A886" i="6" s="1"/>
  <c r="A894" i="1"/>
  <c r="A887" i="6" s="1"/>
  <c r="A895" i="1"/>
  <c r="A888" i="6" s="1"/>
  <c r="A896" i="1"/>
  <c r="A889" i="6" s="1"/>
  <c r="A897" i="1"/>
  <c r="A890" i="6" s="1"/>
  <c r="A898" i="1"/>
  <c r="A891" i="6" s="1"/>
  <c r="A899" i="1"/>
  <c r="A892" i="6" s="1"/>
  <c r="A900" i="1"/>
  <c r="A893" i="6" s="1"/>
  <c r="A901" i="1"/>
  <c r="A894" i="6" s="1"/>
  <c r="A902" i="1"/>
  <c r="A895" i="6" s="1"/>
  <c r="A903" i="1"/>
  <c r="A896" i="6" s="1"/>
  <c r="A904" i="1"/>
  <c r="A897" i="6" s="1"/>
  <c r="A905" i="1"/>
  <c r="A898" i="6" s="1"/>
  <c r="A906" i="1"/>
  <c r="A899" i="6" s="1"/>
  <c r="A907" i="1"/>
  <c r="A900" i="6" s="1"/>
  <c r="A908" i="1"/>
  <c r="A901" i="6" s="1"/>
  <c r="A909" i="1"/>
  <c r="A902" i="6" s="1"/>
  <c r="A910" i="1"/>
  <c r="A903" i="6" s="1"/>
  <c r="A911" i="1"/>
  <c r="A904" i="6" s="1"/>
  <c r="A912" i="1"/>
  <c r="A905" i="6" s="1"/>
  <c r="A913" i="1"/>
  <c r="A906" i="6" s="1"/>
  <c r="A914" i="1"/>
  <c r="A907" i="6" s="1"/>
  <c r="A915" i="1"/>
  <c r="A908" i="6" s="1"/>
  <c r="A916" i="1"/>
  <c r="A909" i="6" s="1"/>
  <c r="A917" i="1"/>
  <c r="A910" i="6" s="1"/>
  <c r="A918" i="1"/>
  <c r="A911" i="6" s="1"/>
  <c r="A919" i="1"/>
  <c r="A912" i="6" s="1"/>
  <c r="A920" i="1"/>
  <c r="A913" i="6" s="1"/>
  <c r="A921" i="1"/>
  <c r="A914" i="6" s="1"/>
  <c r="A922" i="1"/>
  <c r="A915" i="6" s="1"/>
  <c r="A923" i="1"/>
  <c r="A916" i="6" s="1"/>
  <c r="A924" i="1"/>
  <c r="A917" i="6" s="1"/>
  <c r="A925" i="1"/>
  <c r="A918" i="6" s="1"/>
  <c r="A926" i="1"/>
  <c r="A919" i="6" s="1"/>
  <c r="A927" i="1"/>
  <c r="A920" i="6" s="1"/>
  <c r="A928" i="1"/>
  <c r="A921" i="6" s="1"/>
  <c r="A929" i="1"/>
  <c r="A922" i="6" s="1"/>
  <c r="A930" i="1"/>
  <c r="A923" i="6" s="1"/>
  <c r="A931" i="1"/>
  <c r="A924" i="6" s="1"/>
  <c r="A932" i="1"/>
  <c r="A925" i="6" s="1"/>
  <c r="A933" i="1"/>
  <c r="A926" i="6" s="1"/>
  <c r="A934" i="1"/>
  <c r="A927" i="6" s="1"/>
  <c r="A935" i="1"/>
  <c r="A928" i="6" s="1"/>
  <c r="A936" i="1"/>
  <c r="A929" i="6" s="1"/>
  <c r="A937" i="1"/>
  <c r="A930" i="6" s="1"/>
  <c r="A938" i="1"/>
  <c r="A931" i="6" s="1"/>
  <c r="A939" i="1"/>
  <c r="A932" i="6" s="1"/>
  <c r="A940" i="1"/>
  <c r="A933" i="6" s="1"/>
  <c r="A941" i="1"/>
  <c r="A934" i="6" s="1"/>
  <c r="A942" i="1"/>
  <c r="A935" i="6" s="1"/>
  <c r="A943" i="1"/>
  <c r="A936" i="6" s="1"/>
  <c r="A944" i="1"/>
  <c r="A937" i="6" s="1"/>
  <c r="A945" i="1"/>
  <c r="A938" i="6" s="1"/>
  <c r="A946" i="1"/>
  <c r="A939" i="6" s="1"/>
  <c r="A947" i="1"/>
  <c r="A940" i="6" s="1"/>
  <c r="A948" i="1"/>
  <c r="A941" i="6" s="1"/>
  <c r="A949" i="1"/>
  <c r="A942" i="6" s="1"/>
  <c r="A950" i="1"/>
  <c r="A943" i="6" s="1"/>
  <c r="A951" i="1"/>
  <c r="A944" i="6" s="1"/>
  <c r="A952" i="1"/>
  <c r="A945" i="6" s="1"/>
  <c r="A953" i="1"/>
  <c r="A946" i="6" s="1"/>
  <c r="A954" i="1"/>
  <c r="A947" i="6" s="1"/>
  <c r="A955" i="1"/>
  <c r="A948" i="6" s="1"/>
  <c r="A956" i="1"/>
  <c r="A949" i="6" s="1"/>
  <c r="A957" i="1"/>
  <c r="A950" i="6" s="1"/>
  <c r="A958" i="1"/>
  <c r="A951" i="6" s="1"/>
  <c r="A959" i="1"/>
  <c r="A952" i="6" s="1"/>
  <c r="A960" i="1"/>
  <c r="A953" i="6" s="1"/>
  <c r="A961" i="1"/>
  <c r="A954" i="6" s="1"/>
  <c r="A962" i="1"/>
  <c r="A955" i="6" s="1"/>
  <c r="A963" i="1"/>
  <c r="A956" i="6" s="1"/>
  <c r="A964" i="1"/>
  <c r="A957" i="6" s="1"/>
  <c r="A965" i="1"/>
  <c r="A958" i="6" s="1"/>
  <c r="A966" i="1"/>
  <c r="A959" i="6" s="1"/>
  <c r="A967" i="1"/>
  <c r="A960" i="6" s="1"/>
  <c r="A968" i="1"/>
  <c r="A961" i="6" s="1"/>
  <c r="A969" i="1"/>
  <c r="A962" i="6" s="1"/>
  <c r="A970" i="1"/>
  <c r="A963" i="6" s="1"/>
  <c r="A971" i="1"/>
  <c r="A964" i="6" s="1"/>
  <c r="A972" i="1"/>
  <c r="A965" i="6" s="1"/>
  <c r="A973" i="1"/>
  <c r="A966" i="6" s="1"/>
  <c r="A974" i="1"/>
  <c r="A967" i="6" s="1"/>
  <c r="A975" i="1"/>
  <c r="A968" i="6" s="1"/>
  <c r="A976" i="1"/>
  <c r="A969" i="6" s="1"/>
  <c r="A977" i="1"/>
  <c r="A970" i="6" s="1"/>
  <c r="A978" i="1"/>
  <c r="A971" i="6" s="1"/>
  <c r="A979" i="1"/>
  <c r="A972" i="6" s="1"/>
  <c r="A980" i="1"/>
  <c r="A973" i="6" s="1"/>
  <c r="A981" i="1"/>
  <c r="A974" i="6" s="1"/>
  <c r="A982" i="1"/>
  <c r="A975" i="6" s="1"/>
  <c r="A983" i="1"/>
  <c r="A976" i="6" s="1"/>
  <c r="A984" i="1"/>
  <c r="A977" i="6" s="1"/>
  <c r="A985" i="1"/>
  <c r="A978" i="6" s="1"/>
  <c r="A986" i="1"/>
  <c r="A979" i="6" s="1"/>
  <c r="A987" i="1"/>
  <c r="A980" i="6" s="1"/>
  <c r="A988" i="1"/>
  <c r="A981" i="6" s="1"/>
  <c r="A989" i="1"/>
  <c r="A982" i="6" s="1"/>
  <c r="A990" i="1"/>
  <c r="A983" i="6" s="1"/>
  <c r="A991" i="1"/>
  <c r="A984" i="6" s="1"/>
  <c r="A992" i="1"/>
  <c r="A985" i="6" s="1"/>
  <c r="A993" i="1"/>
  <c r="A986" i="6" s="1"/>
  <c r="A994" i="1"/>
  <c r="A987" i="6" s="1"/>
  <c r="A995" i="1"/>
  <c r="A988" i="6" s="1"/>
  <c r="A996" i="1"/>
  <c r="A989" i="6" s="1"/>
  <c r="A997" i="1"/>
  <c r="A990" i="6" s="1"/>
  <c r="A998" i="1"/>
  <c r="A991" i="6" s="1"/>
  <c r="A999" i="1"/>
  <c r="A992" i="6" s="1"/>
  <c r="A1000" i="1"/>
  <c r="A993" i="6" s="1"/>
  <c r="A1001" i="1"/>
  <c r="A994" i="6" s="1"/>
  <c r="A1002" i="1"/>
  <c r="A995" i="6" s="1"/>
  <c r="A1003" i="1"/>
  <c r="A996" i="6" s="1"/>
  <c r="A1004" i="1"/>
  <c r="A997" i="6" s="1"/>
  <c r="A1005" i="1"/>
  <c r="A998" i="6" s="1"/>
  <c r="A1006" i="1"/>
  <c r="A999" i="6" s="1"/>
  <c r="A1007" i="1"/>
  <c r="A1000" i="6" s="1"/>
  <c r="A1008" i="1"/>
  <c r="A1001" i="6" s="1"/>
  <c r="A1009" i="1"/>
  <c r="A1002" i="6" s="1"/>
  <c r="A1010" i="1"/>
  <c r="A1003" i="6" s="1"/>
  <c r="A1011" i="1"/>
  <c r="A1004" i="6" s="1"/>
  <c r="A1012" i="1"/>
  <c r="A1005" i="6" s="1"/>
  <c r="A1013" i="1"/>
  <c r="A1006" i="6" s="1"/>
  <c r="A1014" i="1"/>
  <c r="A1007" i="6" s="1"/>
  <c r="A1015" i="1"/>
  <c r="A1008" i="6" s="1"/>
  <c r="A1016" i="1"/>
  <c r="A1009" i="6" s="1"/>
  <c r="A1017" i="1"/>
  <c r="A1010" i="6" s="1"/>
  <c r="A1018" i="1"/>
  <c r="A1011" i="6" s="1"/>
  <c r="A1019" i="1"/>
  <c r="A1012" i="6" s="1"/>
  <c r="A1020" i="1"/>
  <c r="A1013" i="6" s="1"/>
  <c r="A1021" i="1"/>
  <c r="A1014" i="6" s="1"/>
  <c r="A1022" i="1"/>
  <c r="A1015" i="6" s="1"/>
  <c r="A1023" i="1"/>
  <c r="A1016" i="6" s="1"/>
  <c r="A1024" i="1"/>
  <c r="A1017" i="6" s="1"/>
  <c r="A1025" i="1"/>
  <c r="A1018" i="6" s="1"/>
  <c r="A1026" i="1"/>
  <c r="A1019" i="6" s="1"/>
  <c r="A1027" i="1"/>
  <c r="A1020" i="6" s="1"/>
  <c r="A1028" i="1"/>
  <c r="A1021" i="6" s="1"/>
  <c r="A1029" i="1"/>
  <c r="A1022" i="6" s="1"/>
  <c r="A1030" i="1"/>
  <c r="A1023" i="6" s="1"/>
  <c r="A1031" i="1"/>
  <c r="A1024" i="6" s="1"/>
  <c r="A1032" i="1"/>
  <c r="A1025" i="6" s="1"/>
  <c r="A1033" i="1"/>
  <c r="A1026" i="6" s="1"/>
  <c r="A1034" i="1"/>
  <c r="A1027" i="6" s="1"/>
  <c r="A1035" i="1"/>
  <c r="A1028" i="6" s="1"/>
  <c r="A1036" i="1"/>
  <c r="A1029" i="6" s="1"/>
  <c r="A1037" i="1"/>
  <c r="A1030" i="6" s="1"/>
  <c r="A1038" i="1"/>
  <c r="A1031" i="6" s="1"/>
  <c r="A1039" i="1"/>
  <c r="A1032" i="6" s="1"/>
  <c r="A1040" i="1"/>
  <c r="A1033" i="6" s="1"/>
  <c r="A1041" i="1"/>
  <c r="A1034" i="6" s="1"/>
  <c r="A1042" i="1"/>
  <c r="A1035" i="6" s="1"/>
  <c r="A1043" i="1"/>
  <c r="A1036" i="6" s="1"/>
  <c r="A1044" i="1"/>
  <c r="A1037" i="6" s="1"/>
  <c r="A1045" i="1"/>
  <c r="A1038" i="6" s="1"/>
  <c r="A1046" i="1"/>
  <c r="A1039" i="6" s="1"/>
  <c r="A1047" i="1"/>
  <c r="A1040" i="6" s="1"/>
  <c r="A1048" i="1"/>
  <c r="A1041" i="6" s="1"/>
  <c r="A1049" i="1"/>
  <c r="A1042" i="6" s="1"/>
  <c r="A1050" i="1"/>
  <c r="A1043" i="6" s="1"/>
  <c r="A1051" i="1"/>
  <c r="A1044" i="6" s="1"/>
  <c r="A1052" i="1"/>
  <c r="A1045" i="6" s="1"/>
  <c r="A1053" i="1"/>
  <c r="A1046" i="6" s="1"/>
  <c r="A1054" i="1"/>
  <c r="A1047" i="6" s="1"/>
  <c r="A1055" i="1"/>
  <c r="A1048" i="6" s="1"/>
  <c r="A1056" i="1"/>
  <c r="A1049" i="6" s="1"/>
  <c r="A1057" i="1"/>
  <c r="A1050" i="6" s="1"/>
  <c r="A1058" i="1"/>
  <c r="A1051" i="6" s="1"/>
  <c r="A1059" i="1"/>
  <c r="A1052" i="6" s="1"/>
  <c r="A1060" i="1"/>
  <c r="A1053" i="6" s="1"/>
  <c r="A1061" i="1"/>
  <c r="A1054" i="6" s="1"/>
  <c r="A1062" i="1"/>
  <c r="A1055" i="6" s="1"/>
  <c r="A1063" i="1"/>
  <c r="A1056" i="6" s="1"/>
  <c r="A1064" i="1"/>
  <c r="A1057" i="6" s="1"/>
  <c r="A1065" i="1"/>
  <c r="A1058" i="6" s="1"/>
  <c r="A1066" i="1"/>
  <c r="A1059" i="6" s="1"/>
  <c r="A1067" i="1"/>
  <c r="A1060" i="6" s="1"/>
  <c r="A1068" i="1"/>
  <c r="A1061" i="6" s="1"/>
  <c r="A1069" i="1"/>
  <c r="A1062" i="6" s="1"/>
  <c r="A1070" i="1"/>
  <c r="A1063" i="6" s="1"/>
  <c r="A1071" i="1"/>
  <c r="A1064" i="6" s="1"/>
  <c r="A1072" i="1"/>
  <c r="A1065" i="6" s="1"/>
  <c r="A1073" i="1"/>
  <c r="A1066" i="6" s="1"/>
  <c r="A1074" i="1"/>
  <c r="A1067" i="6" s="1"/>
  <c r="A1075" i="1"/>
  <c r="A1068" i="6" s="1"/>
  <c r="A1076" i="1"/>
  <c r="A1069" i="6" s="1"/>
  <c r="A1077" i="1"/>
  <c r="A1070" i="6" s="1"/>
  <c r="A1078" i="1"/>
  <c r="A1071" i="6" s="1"/>
  <c r="A1079" i="1"/>
  <c r="A1072" i="6" s="1"/>
  <c r="A1080" i="1"/>
  <c r="A1073" i="6" s="1"/>
  <c r="A1081" i="1"/>
  <c r="A1074" i="6" s="1"/>
  <c r="A1082" i="1"/>
  <c r="A1075" i="6" s="1"/>
  <c r="A1083" i="1"/>
  <c r="A1076" i="6" s="1"/>
  <c r="A1084" i="1"/>
  <c r="A1077" i="6" s="1"/>
  <c r="A1085" i="1"/>
  <c r="A1078" i="6" s="1"/>
  <c r="A1086" i="1"/>
  <c r="A1079" i="6" s="1"/>
  <c r="A1087" i="1"/>
  <c r="A1080" i="6" s="1"/>
  <c r="A1088" i="1"/>
  <c r="A1081" i="6" s="1"/>
  <c r="A1089" i="1"/>
  <c r="A1082" i="6" s="1"/>
  <c r="A1090" i="1"/>
  <c r="A1083" i="6" s="1"/>
  <c r="A1091" i="1"/>
  <c r="A1084" i="6" s="1"/>
  <c r="A1092" i="1"/>
  <c r="A1085" i="6" s="1"/>
  <c r="A1093" i="1"/>
  <c r="A1086" i="6" s="1"/>
  <c r="A1094" i="1"/>
  <c r="A1087" i="6" s="1"/>
  <c r="A1095" i="1"/>
  <c r="A1088" i="6" s="1"/>
  <c r="A1096" i="1"/>
  <c r="A1089" i="6" s="1"/>
  <c r="A1097" i="1"/>
  <c r="A1090" i="6" s="1"/>
  <c r="A1098" i="1"/>
  <c r="A1091" i="6" s="1"/>
  <c r="A1099" i="1"/>
  <c r="A1092" i="6" s="1"/>
  <c r="A1100" i="1"/>
  <c r="A1093" i="6" s="1"/>
  <c r="A1101" i="1"/>
  <c r="A1094" i="6" s="1"/>
  <c r="A1102" i="1"/>
  <c r="A1095" i="6" s="1"/>
  <c r="A1103" i="1"/>
  <c r="A1096" i="6" s="1"/>
  <c r="A1104" i="1"/>
  <c r="A1097" i="6" s="1"/>
  <c r="A1105" i="1"/>
  <c r="A1098" i="6" s="1"/>
  <c r="A1106" i="1"/>
  <c r="A1099" i="6" s="1"/>
  <c r="A1107" i="1"/>
  <c r="A1100" i="6" s="1"/>
  <c r="A1108" i="1"/>
  <c r="A1101" i="6" s="1"/>
  <c r="A1109" i="1"/>
  <c r="A1102" i="6" s="1"/>
  <c r="A1110" i="1"/>
  <c r="A1103" i="6" s="1"/>
  <c r="A1111" i="1"/>
  <c r="A1104" i="6" s="1"/>
  <c r="A1112" i="1"/>
  <c r="A1105" i="6" s="1"/>
  <c r="A1113" i="1"/>
  <c r="A1106" i="6" s="1"/>
  <c r="A1114" i="1"/>
  <c r="A1107" i="6" s="1"/>
  <c r="A1115" i="1"/>
  <c r="A1108" i="6" s="1"/>
  <c r="A1116" i="1"/>
  <c r="A1109" i="6" s="1"/>
  <c r="A1117" i="1"/>
  <c r="A1110" i="6" s="1"/>
  <c r="A1118" i="1"/>
  <c r="A1111" i="6" s="1"/>
  <c r="A1119" i="1"/>
  <c r="A1112" i="6" s="1"/>
  <c r="A1120" i="1"/>
  <c r="A1113" i="6" s="1"/>
  <c r="A1121" i="1"/>
  <c r="A1114" i="6" s="1"/>
  <c r="A1122" i="1"/>
  <c r="A1115" i="6" s="1"/>
  <c r="A1123" i="1"/>
  <c r="A1116" i="6" s="1"/>
  <c r="A1124" i="1"/>
  <c r="A1117" i="6" s="1"/>
  <c r="A1125" i="1"/>
  <c r="A1118" i="6" s="1"/>
  <c r="A1126" i="1"/>
  <c r="A1119" i="6" s="1"/>
  <c r="A1127" i="1"/>
  <c r="A1120" i="6" s="1"/>
  <c r="A1128" i="1"/>
  <c r="A1121" i="6" s="1"/>
  <c r="A1129" i="1"/>
  <c r="A1122" i="6" s="1"/>
  <c r="A1130" i="1"/>
  <c r="A1123" i="6" s="1"/>
  <c r="A1131" i="1"/>
  <c r="A1124" i="6" s="1"/>
  <c r="A1132" i="1"/>
  <c r="A1125" i="6" s="1"/>
  <c r="A1133" i="1"/>
  <c r="A1126" i="6" s="1"/>
  <c r="A1134" i="1"/>
  <c r="A1127" i="6" s="1"/>
  <c r="A1135" i="1"/>
  <c r="A1128" i="6" s="1"/>
  <c r="A1136" i="1"/>
  <c r="A1129" i="6" s="1"/>
  <c r="A1137" i="1"/>
  <c r="A1130" i="6" s="1"/>
  <c r="A1138" i="1"/>
  <c r="A1131" i="6" s="1"/>
  <c r="A1139" i="1"/>
  <c r="A1132" i="6" s="1"/>
  <c r="A1140" i="1"/>
  <c r="A1133" i="6" s="1"/>
  <c r="A1141" i="1"/>
  <c r="A1134" i="6" s="1"/>
  <c r="A1142" i="1"/>
  <c r="A1135" i="6" s="1"/>
  <c r="A1143" i="1"/>
  <c r="A1136" i="6" s="1"/>
  <c r="A1144" i="1"/>
  <c r="A1137" i="6" s="1"/>
  <c r="A1145" i="1"/>
  <c r="A1138" i="6" s="1"/>
  <c r="A1146" i="1"/>
  <c r="A1139" i="6" s="1"/>
  <c r="A1147" i="1"/>
  <c r="A1140" i="6" s="1"/>
  <c r="A1148" i="1"/>
  <c r="A1141" i="6" s="1"/>
  <c r="A1149" i="1"/>
  <c r="A1142" i="6" s="1"/>
  <c r="A1150" i="1"/>
  <c r="A1143" i="6" s="1"/>
  <c r="A1151" i="1"/>
  <c r="A1144" i="6" s="1"/>
  <c r="A1152" i="1"/>
  <c r="A1145" i="6" s="1"/>
  <c r="A1153" i="1"/>
  <c r="A1146" i="6" s="1"/>
  <c r="A1154" i="1"/>
  <c r="A1147" i="6" s="1"/>
  <c r="A1155" i="1"/>
  <c r="A1148" i="6" s="1"/>
  <c r="A1156" i="1"/>
  <c r="A1149" i="6" s="1"/>
  <c r="A1157" i="1"/>
  <c r="A1150" i="6" s="1"/>
  <c r="A1158" i="1"/>
  <c r="A1151" i="6" s="1"/>
  <c r="A1159" i="1"/>
  <c r="A1152" i="6" s="1"/>
  <c r="A1160" i="1"/>
  <c r="A1153" i="6" s="1"/>
  <c r="A1161" i="1"/>
  <c r="A1154" i="6" s="1"/>
  <c r="A1162" i="1"/>
  <c r="A1155" i="6" s="1"/>
  <c r="A1163" i="1"/>
  <c r="A1156" i="6" s="1"/>
  <c r="A1164" i="1"/>
  <c r="A1157" i="6" s="1"/>
  <c r="A1165" i="1"/>
  <c r="A1158" i="6" s="1"/>
  <c r="A1166" i="1"/>
  <c r="A1159" i="6" s="1"/>
  <c r="A1167" i="1"/>
  <c r="A1160" i="6" s="1"/>
  <c r="A1168" i="1"/>
  <c r="A1161" i="6" s="1"/>
  <c r="A1169" i="1"/>
  <c r="A1162" i="6" s="1"/>
  <c r="A1170" i="1"/>
  <c r="A1163" i="6" s="1"/>
  <c r="A1171" i="1"/>
  <c r="A1164" i="6" s="1"/>
  <c r="A1172" i="1"/>
  <c r="A1165" i="6" s="1"/>
  <c r="A1173" i="1"/>
  <c r="A1166" i="6" s="1"/>
  <c r="A1174" i="1"/>
  <c r="A1167" i="6" s="1"/>
  <c r="A1175" i="1"/>
  <c r="A1168" i="6" s="1"/>
  <c r="A1176" i="1"/>
  <c r="A1169" i="6" s="1"/>
  <c r="A1177" i="1"/>
  <c r="A1170" i="6" s="1"/>
  <c r="A1178" i="1"/>
  <c r="A1171" i="6" s="1"/>
  <c r="A1179" i="1"/>
  <c r="A1172" i="6" s="1"/>
  <c r="A1180" i="1"/>
  <c r="A1173" i="6" s="1"/>
  <c r="A1181" i="1"/>
  <c r="A1174" i="6" s="1"/>
  <c r="A1182" i="1"/>
  <c r="A1175" i="6" s="1"/>
  <c r="A1183" i="1"/>
  <c r="A1176" i="6" s="1"/>
  <c r="A1184" i="1"/>
  <c r="A1177" i="6" s="1"/>
  <c r="A1185" i="1"/>
  <c r="A1178" i="6" s="1"/>
  <c r="A1186" i="1"/>
  <c r="A1179" i="6" s="1"/>
  <c r="A1187" i="1"/>
  <c r="A1180" i="6" s="1"/>
  <c r="A1188" i="1"/>
  <c r="A1181" i="6" s="1"/>
  <c r="A1189" i="1"/>
  <c r="A1182" i="6" s="1"/>
  <c r="A1190" i="1"/>
  <c r="A1183" i="6" s="1"/>
  <c r="A1191" i="1"/>
  <c r="A1184" i="6" s="1"/>
  <c r="A1192" i="1"/>
  <c r="A1185" i="6" s="1"/>
  <c r="A1193" i="1"/>
  <c r="A1186" i="6" s="1"/>
  <c r="A1194" i="1"/>
  <c r="A1187" i="6" s="1"/>
  <c r="A1195" i="1"/>
  <c r="A1188" i="6" s="1"/>
  <c r="A1196" i="1"/>
  <c r="A1189" i="6" s="1"/>
  <c r="A1197" i="1"/>
  <c r="A1190" i="6" s="1"/>
  <c r="A1198" i="1"/>
  <c r="A1191" i="6" s="1"/>
  <c r="A1199" i="1"/>
  <c r="A1192" i="6" s="1"/>
  <c r="A1200" i="1"/>
  <c r="A1193" i="6" s="1"/>
  <c r="A1201" i="1"/>
  <c r="A1194" i="6" s="1"/>
  <c r="A1202" i="1"/>
  <c r="A1195" i="6" s="1"/>
  <c r="A1203" i="1"/>
  <c r="A1196" i="6" s="1"/>
  <c r="A1204" i="1"/>
  <c r="A1197" i="6" s="1"/>
  <c r="A1205" i="1"/>
  <c r="A1198" i="6" s="1"/>
  <c r="A1206" i="1"/>
  <c r="A1199" i="6" s="1"/>
  <c r="A1207" i="1"/>
  <c r="A1200" i="6" s="1"/>
  <c r="A1208" i="1"/>
  <c r="A1201" i="6" s="1"/>
  <c r="A1209" i="1"/>
  <c r="A1202" i="6" s="1"/>
  <c r="A1210" i="1"/>
  <c r="A1203" i="6" s="1"/>
  <c r="A1211" i="1"/>
  <c r="A1204" i="6" s="1"/>
  <c r="A1212" i="1"/>
  <c r="A1205" i="6" s="1"/>
  <c r="A1213" i="1"/>
  <c r="A1206" i="6" s="1"/>
  <c r="A1214" i="1"/>
  <c r="A1207" i="6" s="1"/>
  <c r="A1215" i="1"/>
  <c r="A1208" i="6" s="1"/>
  <c r="A1216" i="1"/>
  <c r="A1209" i="6" s="1"/>
  <c r="A1217" i="1"/>
  <c r="A1210" i="6" s="1"/>
  <c r="A1218" i="1"/>
  <c r="A1211" i="6" s="1"/>
  <c r="A1219" i="1"/>
  <c r="A1212" i="6" s="1"/>
  <c r="A1220" i="1"/>
  <c r="A1213" i="6" s="1"/>
  <c r="A1221" i="1"/>
  <c r="A1214" i="6" s="1"/>
  <c r="A1222" i="1"/>
  <c r="A1215" i="6" s="1"/>
  <c r="A1223" i="1"/>
  <c r="A1216" i="6" s="1"/>
  <c r="A1224" i="1"/>
  <c r="A1217" i="6" s="1"/>
  <c r="A1225" i="1"/>
  <c r="A1218" i="6" s="1"/>
  <c r="A1226" i="1"/>
  <c r="A1219" i="6" s="1"/>
  <c r="A1227" i="1"/>
  <c r="A1220" i="6" s="1"/>
  <c r="A1228" i="1"/>
  <c r="A1221" i="6" s="1"/>
  <c r="A1229" i="1"/>
  <c r="A1222" i="6" s="1"/>
  <c r="A1230" i="1"/>
  <c r="A1223" i="6" s="1"/>
  <c r="A1231" i="1"/>
  <c r="A1224" i="6" s="1"/>
  <c r="A1232" i="1"/>
  <c r="A1225" i="6" s="1"/>
  <c r="A1233" i="1"/>
  <c r="A1226" i="6" s="1"/>
  <c r="A1234" i="1"/>
  <c r="A1227" i="6" s="1"/>
  <c r="A1235" i="1"/>
  <c r="A1228" i="6" s="1"/>
  <c r="A1236" i="1"/>
  <c r="A1229" i="6" s="1"/>
  <c r="A1237" i="1"/>
  <c r="A1230" i="6" s="1"/>
  <c r="A1238" i="1"/>
  <c r="A1231" i="6" s="1"/>
  <c r="A1239" i="1"/>
  <c r="A1232" i="6" s="1"/>
  <c r="A1240" i="1"/>
  <c r="A1233" i="6" s="1"/>
  <c r="A1241" i="1"/>
  <c r="A1234" i="6" s="1"/>
  <c r="A1242" i="1"/>
  <c r="A1235" i="6" s="1"/>
  <c r="A1243" i="1"/>
  <c r="A1236" i="6" s="1"/>
  <c r="A1244" i="1"/>
  <c r="A1237" i="6" s="1"/>
  <c r="A1245" i="1"/>
  <c r="A1238" i="6" s="1"/>
  <c r="A1246" i="1"/>
  <c r="A1239" i="6" s="1"/>
  <c r="A1247" i="1"/>
  <c r="A1240" i="6" s="1"/>
  <c r="A1248" i="1"/>
  <c r="A1241" i="6" s="1"/>
  <c r="A1249" i="1"/>
  <c r="A1242" i="6" s="1"/>
  <c r="A1250" i="1"/>
  <c r="A1243" i="6" s="1"/>
  <c r="A1251" i="1"/>
  <c r="A1244" i="6" s="1"/>
  <c r="A1252" i="1"/>
  <c r="A1245" i="6" s="1"/>
  <c r="A1253" i="1"/>
  <c r="A1246" i="6" s="1"/>
  <c r="A1254" i="1"/>
  <c r="A1247" i="6" s="1"/>
  <c r="A1255" i="1"/>
  <c r="A1248" i="6" s="1"/>
  <c r="A1256" i="1"/>
  <c r="A1249" i="6" s="1"/>
  <c r="A1257" i="1"/>
  <c r="A1250" i="6" s="1"/>
  <c r="A1258" i="1"/>
  <c r="A1251" i="6" s="1"/>
  <c r="A1259" i="1"/>
  <c r="A1252" i="6" s="1"/>
  <c r="A1260" i="1"/>
  <c r="A1253" i="6" s="1"/>
  <c r="A1261" i="1"/>
  <c r="A1254" i="6" s="1"/>
  <c r="A1262" i="1"/>
  <c r="A1255" i="6" s="1"/>
  <c r="A1263" i="1"/>
  <c r="A1256" i="6" s="1"/>
  <c r="A1264" i="1"/>
  <c r="A1257" i="6" s="1"/>
  <c r="A1265" i="1"/>
  <c r="A1258" i="6" s="1"/>
  <c r="A1266" i="1"/>
  <c r="A1259" i="6" s="1"/>
  <c r="A1267" i="1"/>
  <c r="A1260" i="6" s="1"/>
  <c r="A1268" i="1"/>
  <c r="A1261" i="6" s="1"/>
  <c r="A1269" i="1"/>
  <c r="A1262" i="6" s="1"/>
  <c r="A1270" i="1"/>
  <c r="A1263" i="6" s="1"/>
  <c r="A1271" i="1"/>
  <c r="A1264" i="6" s="1"/>
  <c r="A1272" i="1"/>
  <c r="A1265" i="6" s="1"/>
  <c r="A1273" i="1"/>
  <c r="A1266" i="6" s="1"/>
  <c r="A1274" i="1"/>
  <c r="A1267" i="6" s="1"/>
  <c r="A1275" i="1"/>
  <c r="A1268" i="6" s="1"/>
  <c r="A1276" i="1"/>
  <c r="A1269" i="6" s="1"/>
  <c r="A1277" i="1"/>
  <c r="A1270" i="6" s="1"/>
  <c r="A1278" i="1"/>
  <c r="A1271" i="6" s="1"/>
  <c r="A1279" i="1"/>
  <c r="A1272" i="6" s="1"/>
  <c r="A1280" i="1"/>
  <c r="A1273" i="6" s="1"/>
  <c r="A1281" i="1"/>
  <c r="A1274" i="6" s="1"/>
  <c r="A1282" i="1"/>
  <c r="A1275" i="6" s="1"/>
  <c r="A1283" i="1"/>
  <c r="A1276" i="6" s="1"/>
  <c r="A1284" i="1"/>
  <c r="A1277" i="6" s="1"/>
  <c r="A1285" i="1"/>
  <c r="A1278" i="6" s="1"/>
  <c r="A1286" i="1"/>
  <c r="A1279" i="6" s="1"/>
  <c r="A1287" i="1"/>
  <c r="A1280" i="6" s="1"/>
  <c r="A1288" i="1"/>
  <c r="A1281" i="6" s="1"/>
  <c r="A1289" i="1"/>
  <c r="A1282" i="6" s="1"/>
  <c r="A1290" i="1"/>
  <c r="A1283" i="6" s="1"/>
  <c r="A1291" i="1"/>
  <c r="A1284" i="6" s="1"/>
  <c r="A1292" i="1"/>
  <c r="A1285" i="6" s="1"/>
  <c r="A1293" i="1"/>
  <c r="A1286" i="6" s="1"/>
  <c r="A1294" i="1"/>
  <c r="A1287" i="6" s="1"/>
  <c r="A1295" i="1"/>
  <c r="A1288" i="6" s="1"/>
  <c r="A1296" i="1"/>
  <c r="A1289" i="6" s="1"/>
  <c r="A1297" i="1"/>
  <c r="A1290" i="6" s="1"/>
  <c r="A1298" i="1"/>
  <c r="A1291" i="6" s="1"/>
  <c r="A1299" i="1"/>
  <c r="A1292" i="6" s="1"/>
  <c r="A1300" i="1"/>
  <c r="A1293" i="6" s="1"/>
  <c r="A1301" i="1"/>
  <c r="A1294" i="6" s="1"/>
  <c r="A1302" i="1"/>
  <c r="A1295" i="6" s="1"/>
  <c r="A1303" i="1"/>
  <c r="A1296" i="6" s="1"/>
  <c r="A1304" i="1"/>
  <c r="A1297" i="6" s="1"/>
  <c r="A1305" i="1"/>
  <c r="A1298" i="6" s="1"/>
  <c r="A1306" i="1"/>
  <c r="A1299" i="6" s="1"/>
  <c r="A1307" i="1"/>
  <c r="A1300" i="6" s="1"/>
  <c r="A1308" i="1"/>
  <c r="A1301" i="6" s="1"/>
  <c r="A1309" i="1"/>
  <c r="A1302" i="6" s="1"/>
  <c r="A1310" i="1"/>
  <c r="A1303" i="6" s="1"/>
  <c r="A1311" i="1"/>
  <c r="A1304" i="6" s="1"/>
  <c r="A1312" i="1"/>
  <c r="A1305" i="6" s="1"/>
  <c r="A1313" i="1"/>
  <c r="A1306" i="6" s="1"/>
  <c r="A1314" i="1"/>
  <c r="A1307" i="6" s="1"/>
  <c r="A1315" i="1"/>
  <c r="A1308" i="6" s="1"/>
  <c r="A1316" i="1"/>
  <c r="A1309" i="6" s="1"/>
  <c r="A1317" i="1"/>
  <c r="A1310" i="6" s="1"/>
  <c r="A1318" i="1"/>
  <c r="A1311" i="6" s="1"/>
  <c r="A1319" i="1"/>
  <c r="A1312" i="6" s="1"/>
  <c r="A1320" i="1"/>
  <c r="A1313" i="6" s="1"/>
  <c r="A1321" i="1"/>
  <c r="A1314" i="6" s="1"/>
  <c r="A1322" i="1"/>
  <c r="A1315" i="6" s="1"/>
  <c r="A1323" i="1"/>
  <c r="A1316" i="6" s="1"/>
  <c r="A1324" i="1"/>
  <c r="A1317" i="6" s="1"/>
  <c r="A1325" i="1"/>
  <c r="A1318" i="6" s="1"/>
  <c r="A1326" i="1"/>
  <c r="A1319" i="6" s="1"/>
  <c r="A1327" i="1"/>
  <c r="A1320" i="6" s="1"/>
  <c r="A1328" i="1"/>
  <c r="A1321" i="6" s="1"/>
  <c r="A1329" i="1"/>
  <c r="A1322" i="6" s="1"/>
  <c r="A1330" i="1"/>
  <c r="A1323" i="6" s="1"/>
  <c r="A1331" i="1"/>
  <c r="A1324" i="6" s="1"/>
  <c r="A1332" i="1"/>
  <c r="A1325" i="6" s="1"/>
  <c r="A1333" i="1"/>
  <c r="A1326" i="6" s="1"/>
  <c r="A1334" i="1"/>
  <c r="A1327" i="6" s="1"/>
  <c r="A1335" i="1"/>
  <c r="A1328" i="6" s="1"/>
  <c r="A1336" i="1"/>
  <c r="A1329" i="6" s="1"/>
  <c r="A1337" i="1"/>
  <c r="A1330" i="6" s="1"/>
  <c r="A1338" i="1"/>
  <c r="A1331" i="6" s="1"/>
  <c r="A1339" i="1"/>
  <c r="A1332" i="6" s="1"/>
  <c r="A1340" i="1"/>
  <c r="A1333" i="6" s="1"/>
  <c r="A1341" i="1"/>
  <c r="A1334" i="6" s="1"/>
  <c r="A1342" i="1"/>
  <c r="A1335" i="6" s="1"/>
  <c r="A1343" i="1"/>
  <c r="A1336" i="6" s="1"/>
  <c r="A1344" i="1"/>
  <c r="A1337" i="6" s="1"/>
  <c r="A1345" i="1"/>
  <c r="A1338" i="6" s="1"/>
  <c r="A1346" i="1"/>
  <c r="A1339" i="6" s="1"/>
  <c r="A1347" i="1"/>
  <c r="A1340" i="6" s="1"/>
  <c r="A1348" i="1"/>
  <c r="A1341" i="6" s="1"/>
  <c r="A1349" i="1"/>
  <c r="A1342" i="6" s="1"/>
  <c r="A1350" i="1"/>
  <c r="A1343" i="6" s="1"/>
  <c r="A1351" i="1"/>
  <c r="A1344" i="6" s="1"/>
  <c r="A1352" i="1"/>
  <c r="A1345" i="6" s="1"/>
  <c r="A1353" i="1"/>
  <c r="A1346" i="6" s="1"/>
  <c r="A1354" i="1"/>
  <c r="A1347" i="6" s="1"/>
  <c r="A1355" i="1"/>
  <c r="A1348" i="6" s="1"/>
  <c r="A1356" i="1"/>
  <c r="A1349" i="6" s="1"/>
  <c r="A1357" i="1"/>
  <c r="A1350" i="6" s="1"/>
  <c r="A1358" i="1"/>
  <c r="A1351" i="6" s="1"/>
  <c r="A1359" i="1"/>
  <c r="A1352" i="6" s="1"/>
  <c r="A1360" i="1"/>
  <c r="A1353" i="6" s="1"/>
  <c r="A1361" i="1"/>
  <c r="A1354" i="6" s="1"/>
  <c r="A1362" i="1"/>
  <c r="A1355" i="6" s="1"/>
  <c r="A1363" i="1"/>
  <c r="A1356" i="6" s="1"/>
  <c r="A1364" i="1"/>
  <c r="A1357" i="6" s="1"/>
  <c r="A1365" i="1"/>
  <c r="A1358" i="6" s="1"/>
  <c r="A1366" i="1"/>
  <c r="A1359" i="6" s="1"/>
  <c r="A1367" i="1"/>
  <c r="A1360" i="6" s="1"/>
  <c r="A1368" i="1"/>
  <c r="A1361" i="6" s="1"/>
  <c r="A1369" i="1"/>
  <c r="A1362" i="6" s="1"/>
  <c r="A1370" i="1"/>
  <c r="A1363" i="6" s="1"/>
  <c r="A1371" i="1"/>
  <c r="A1364" i="6" s="1"/>
  <c r="A1372" i="1"/>
  <c r="A1365" i="6" s="1"/>
  <c r="A1373" i="1"/>
  <c r="A1366" i="6" s="1"/>
  <c r="A1374" i="1"/>
  <c r="A1367" i="6" s="1"/>
  <c r="A1375" i="1"/>
  <c r="A1368" i="6" s="1"/>
  <c r="A1376" i="1"/>
  <c r="A1369" i="6" s="1"/>
  <c r="A1377" i="1"/>
  <c r="A1370" i="6" s="1"/>
  <c r="A1378" i="1"/>
  <c r="A1371" i="6" s="1"/>
  <c r="A1379" i="1"/>
  <c r="A1372" i="6" s="1"/>
  <c r="A1380" i="1"/>
  <c r="A1373" i="6" s="1"/>
  <c r="A1381" i="1"/>
  <c r="A1374" i="6" s="1"/>
  <c r="A1382" i="1"/>
  <c r="A1375" i="6" s="1"/>
  <c r="A1383" i="1"/>
  <c r="A1376" i="6" s="1"/>
  <c r="A1384" i="1"/>
  <c r="A1377" i="6" s="1"/>
  <c r="A1385" i="1"/>
  <c r="A1378" i="6" s="1"/>
  <c r="A1386" i="1"/>
  <c r="A1379" i="6" s="1"/>
  <c r="A1387" i="1"/>
  <c r="A1380" i="6" s="1"/>
  <c r="A1388" i="1"/>
  <c r="A1381" i="6" s="1"/>
  <c r="A1389" i="1"/>
  <c r="A1382" i="6" s="1"/>
  <c r="A1390" i="1"/>
  <c r="A1383" i="6" s="1"/>
  <c r="A1391" i="1"/>
  <c r="A1384" i="6" s="1"/>
  <c r="A1392" i="1"/>
  <c r="A1385" i="6" s="1"/>
  <c r="A1393" i="1"/>
  <c r="A1386" i="6" s="1"/>
  <c r="A1394" i="1"/>
  <c r="A1387" i="6" s="1"/>
  <c r="A1395" i="1"/>
  <c r="A1388" i="6" s="1"/>
  <c r="A1396" i="1"/>
  <c r="A1389" i="6" s="1"/>
  <c r="A1397" i="1"/>
  <c r="A1390" i="6" s="1"/>
  <c r="A1398" i="1"/>
  <c r="A1391" i="6" s="1"/>
  <c r="A1399" i="1"/>
  <c r="A1392" i="6" s="1"/>
  <c r="A1400" i="1"/>
  <c r="A1393" i="6" s="1"/>
  <c r="A1401" i="1"/>
  <c r="A1394" i="6" s="1"/>
  <c r="A1402" i="1"/>
  <c r="A1395" i="6" s="1"/>
  <c r="A1403" i="1"/>
  <c r="A1396" i="6" s="1"/>
  <c r="A1404" i="1"/>
  <c r="A1397" i="6" s="1"/>
  <c r="A1405" i="1"/>
  <c r="A1398" i="6" s="1"/>
  <c r="A1406" i="1"/>
  <c r="A1399" i="6" s="1"/>
  <c r="A1407" i="1"/>
  <c r="A1400" i="6" s="1"/>
  <c r="A1408" i="1"/>
  <c r="A1401" i="6" s="1"/>
  <c r="A1409" i="1"/>
  <c r="A1402" i="6" s="1"/>
  <c r="A1410" i="1"/>
  <c r="A1403" i="6" s="1"/>
  <c r="A1411" i="1"/>
  <c r="A1404" i="6" s="1"/>
  <c r="A1412" i="1"/>
  <c r="A1405" i="6" s="1"/>
  <c r="A1413" i="1"/>
  <c r="A1406" i="6" s="1"/>
  <c r="A1414" i="1"/>
  <c r="A1407" i="6" s="1"/>
  <c r="A1415" i="1"/>
  <c r="A1408" i="6" s="1"/>
  <c r="A1416" i="1"/>
  <c r="A1409" i="6" s="1"/>
  <c r="A1417" i="1"/>
  <c r="A1410" i="6" s="1"/>
  <c r="A1418" i="1"/>
  <c r="A1411" i="6" s="1"/>
  <c r="A1419" i="1"/>
  <c r="A1412" i="6" s="1"/>
  <c r="A1420" i="1"/>
  <c r="A1413" i="6" s="1"/>
  <c r="A1421" i="1"/>
  <c r="A1414" i="6" s="1"/>
  <c r="A1422" i="1"/>
  <c r="A1415" i="6" s="1"/>
  <c r="A1423" i="1"/>
  <c r="A1416" i="6" s="1"/>
  <c r="A1424" i="1"/>
  <c r="A1417" i="6" s="1"/>
  <c r="A1425" i="1"/>
  <c r="A1418" i="6" s="1"/>
  <c r="A1426" i="1"/>
  <c r="A1419" i="6" s="1"/>
  <c r="A1427" i="1"/>
  <c r="A1420" i="6" s="1"/>
  <c r="A1428" i="1"/>
  <c r="A1421" i="6" s="1"/>
  <c r="A1429" i="1"/>
  <c r="A1422" i="6" s="1"/>
  <c r="A1430" i="1"/>
  <c r="A1423" i="6" s="1"/>
  <c r="A1431" i="1"/>
  <c r="A1424" i="6" s="1"/>
  <c r="A1432" i="1"/>
  <c r="A1425" i="6" s="1"/>
  <c r="A1433" i="1"/>
  <c r="A1426" i="6" s="1"/>
  <c r="A1434" i="1"/>
  <c r="A1427" i="6" s="1"/>
  <c r="A1435" i="1"/>
  <c r="A1428" i="6" s="1"/>
  <c r="A1436" i="1"/>
  <c r="A1429" i="6" s="1"/>
  <c r="A1437" i="1"/>
  <c r="A1430" i="6" s="1"/>
  <c r="A1438" i="1"/>
  <c r="A1431" i="6" s="1"/>
  <c r="A1439" i="1"/>
  <c r="A1432" i="6" s="1"/>
  <c r="A1440" i="1"/>
  <c r="A1433" i="6" s="1"/>
  <c r="A1441" i="1"/>
  <c r="A1434" i="6" s="1"/>
  <c r="A1442" i="1"/>
  <c r="A1435" i="6" s="1"/>
  <c r="A1443" i="1"/>
  <c r="A1436" i="6" s="1"/>
  <c r="A1444" i="1"/>
  <c r="A1437" i="6" s="1"/>
  <c r="A1445" i="1"/>
  <c r="A1438" i="6" s="1"/>
  <c r="A1446" i="1"/>
  <c r="A1439" i="6" s="1"/>
  <c r="A1447" i="1"/>
  <c r="A1440" i="6" s="1"/>
  <c r="A1448" i="1"/>
  <c r="A1441" i="6" s="1"/>
  <c r="A1449" i="1"/>
  <c r="A1442" i="6" s="1"/>
  <c r="A1450" i="1"/>
  <c r="A1443" i="6" s="1"/>
  <c r="A1451" i="1"/>
  <c r="A1444" i="6" s="1"/>
  <c r="A1452" i="1"/>
  <c r="A1445" i="6" s="1"/>
  <c r="A1453" i="1"/>
  <c r="A1446" i="6" s="1"/>
  <c r="A1454" i="1"/>
  <c r="A1447" i="6" s="1"/>
  <c r="A1455" i="1"/>
  <c r="A1448" i="6" s="1"/>
  <c r="A1456" i="1"/>
  <c r="A1449" i="6" s="1"/>
  <c r="A1457" i="1"/>
  <c r="A1450" i="6" s="1"/>
  <c r="A1458" i="1"/>
  <c r="A1451" i="6" s="1"/>
  <c r="A1459" i="1"/>
  <c r="A1452" i="6" s="1"/>
  <c r="A1460" i="1"/>
  <c r="A1453" i="6" s="1"/>
  <c r="A1461" i="1"/>
  <c r="A1454" i="6" s="1"/>
  <c r="A1462" i="1"/>
  <c r="A1455" i="6" s="1"/>
  <c r="A1463" i="1"/>
  <c r="A1456" i="6" s="1"/>
  <c r="A1464" i="1"/>
  <c r="A1457" i="6" s="1"/>
  <c r="A1465" i="1"/>
  <c r="A1458" i="6" s="1"/>
  <c r="A1466" i="1"/>
  <c r="A1459" i="6" s="1"/>
  <c r="A1467" i="1"/>
  <c r="A1460" i="6" s="1"/>
  <c r="A1468" i="1"/>
  <c r="A1461" i="6" s="1"/>
  <c r="A1469" i="1"/>
  <c r="A1462" i="6" s="1"/>
  <c r="A1470" i="1"/>
  <c r="A1463" i="6" s="1"/>
  <c r="A1471" i="1"/>
  <c r="A1464" i="6" s="1"/>
  <c r="A1472" i="1"/>
  <c r="A1465" i="6" s="1"/>
  <c r="A1473" i="1"/>
  <c r="A1466" i="6" s="1"/>
  <c r="A1474" i="1"/>
  <c r="A1467" i="6" s="1"/>
  <c r="A1475" i="1"/>
  <c r="A1468" i="6" s="1"/>
  <c r="A1476" i="1"/>
  <c r="A1469" i="6" s="1"/>
  <c r="A1477" i="1"/>
  <c r="A1470" i="6" s="1"/>
  <c r="A1478" i="1"/>
  <c r="A1471" i="6" s="1"/>
  <c r="A1479" i="1"/>
  <c r="A1472" i="6" s="1"/>
  <c r="A1480" i="1"/>
  <c r="A1473" i="6" s="1"/>
  <c r="A1481" i="1"/>
  <c r="A1474" i="6" s="1"/>
  <c r="A1482" i="1"/>
  <c r="A1475" i="6" s="1"/>
  <c r="A1483" i="1"/>
  <c r="A1476" i="6" s="1"/>
  <c r="A1484" i="1"/>
  <c r="A1477" i="6" s="1"/>
  <c r="A1485" i="1"/>
  <c r="A1478" i="6" s="1"/>
  <c r="A1486" i="1"/>
  <c r="A1479" i="6" s="1"/>
  <c r="A1487" i="1"/>
  <c r="A1480" i="6" s="1"/>
  <c r="A1488" i="1"/>
  <c r="A1481" i="6" s="1"/>
  <c r="A1489" i="1"/>
  <c r="A1482" i="6" s="1"/>
  <c r="A1490" i="1"/>
  <c r="A1483" i="6" s="1"/>
  <c r="A1491" i="1"/>
  <c r="A1484" i="6" s="1"/>
  <c r="A1492" i="1"/>
  <c r="A1485" i="6" s="1"/>
  <c r="A1493" i="1"/>
  <c r="A1486" i="6" s="1"/>
  <c r="A1494" i="1"/>
  <c r="A1487" i="6" s="1"/>
  <c r="A1495" i="1"/>
  <c r="A1488" i="6" s="1"/>
  <c r="A1496" i="1"/>
  <c r="A1489" i="6" s="1"/>
  <c r="A1497" i="1"/>
  <c r="A1490" i="6" s="1"/>
  <c r="A1498" i="1"/>
  <c r="A1491" i="6" s="1"/>
  <c r="A1499" i="1"/>
  <c r="A1492" i="6" s="1"/>
  <c r="A1500" i="1"/>
  <c r="A1493" i="6" s="1"/>
  <c r="A1501" i="1"/>
  <c r="A1494" i="6" s="1"/>
  <c r="A1502" i="1"/>
  <c r="A1495" i="6" s="1"/>
  <c r="A1503" i="1"/>
  <c r="A1496" i="6" s="1"/>
  <c r="A1504" i="1"/>
  <c r="A1497" i="6" s="1"/>
  <c r="A1505" i="1"/>
  <c r="A1498" i="6" s="1"/>
  <c r="A1506" i="1"/>
  <c r="A1499" i="6" s="1"/>
  <c r="A1507" i="1"/>
  <c r="A1500" i="6" s="1"/>
  <c r="A1508" i="1"/>
  <c r="A1501" i="6" s="1"/>
  <c r="A1509" i="1"/>
  <c r="A1502" i="6" s="1"/>
  <c r="A1510" i="1"/>
  <c r="A1503" i="6" s="1"/>
  <c r="A1511" i="1"/>
  <c r="A1504" i="6" s="1"/>
  <c r="A1512" i="1"/>
  <c r="A1505" i="6" s="1"/>
  <c r="A1513" i="1"/>
  <c r="A1506" i="6" s="1"/>
  <c r="A1514" i="1"/>
  <c r="A1507" i="6" s="1"/>
  <c r="A1515" i="1"/>
  <c r="A1508" i="6" s="1"/>
  <c r="A1516" i="1"/>
  <c r="A1509" i="6" s="1"/>
  <c r="A1517" i="1"/>
  <c r="A1510" i="6" s="1"/>
  <c r="A1518" i="1"/>
  <c r="A1511" i="6" s="1"/>
  <c r="A1519" i="1"/>
  <c r="A1512" i="6" s="1"/>
  <c r="A1520" i="1"/>
  <c r="A1513" i="6" s="1"/>
  <c r="A1521" i="1"/>
  <c r="A1514" i="6" s="1"/>
  <c r="A1522" i="1"/>
  <c r="A1515" i="6" s="1"/>
  <c r="A1523" i="1"/>
  <c r="A1516" i="6" s="1"/>
  <c r="A1524" i="1"/>
  <c r="A1517" i="6" s="1"/>
  <c r="A1525" i="1"/>
  <c r="A1518" i="6" s="1"/>
  <c r="A1526" i="1"/>
  <c r="A1519" i="6" s="1"/>
  <c r="A1527" i="1"/>
  <c r="A1520" i="6" s="1"/>
  <c r="A1528" i="1"/>
  <c r="A1521" i="6" s="1"/>
  <c r="A1529" i="1"/>
  <c r="A1522" i="6" s="1"/>
  <c r="A1530" i="1"/>
  <c r="A1523" i="6" s="1"/>
  <c r="A1531" i="1"/>
  <c r="A1524" i="6" s="1"/>
  <c r="A1532" i="1"/>
  <c r="A1525" i="6" s="1"/>
  <c r="A1533" i="1"/>
  <c r="A1526" i="6" s="1"/>
  <c r="A1534" i="1"/>
  <c r="A1527" i="6" s="1"/>
  <c r="A1535" i="1"/>
  <c r="A1528" i="6" s="1"/>
  <c r="A1536" i="1"/>
  <c r="A1529" i="6" s="1"/>
  <c r="A1537" i="1"/>
  <c r="A1530" i="6" s="1"/>
  <c r="A1538" i="1"/>
  <c r="A1531" i="6" s="1"/>
  <c r="A1539" i="1"/>
  <c r="A1532" i="6" s="1"/>
  <c r="A1540" i="1"/>
  <c r="A1533" i="6" s="1"/>
  <c r="A1541" i="1"/>
  <c r="A1534" i="6" s="1"/>
  <c r="A1542" i="1"/>
  <c r="A1535" i="6" s="1"/>
  <c r="A1543" i="1"/>
  <c r="A1536" i="6" s="1"/>
  <c r="A1544" i="1"/>
  <c r="A1537" i="6" s="1"/>
  <c r="A1545" i="1"/>
  <c r="A1538" i="6" s="1"/>
  <c r="A1546" i="1"/>
  <c r="A1539" i="6" s="1"/>
  <c r="A1547" i="1"/>
  <c r="A1540" i="6" s="1"/>
  <c r="A1548" i="1"/>
  <c r="A1541" i="6" s="1"/>
  <c r="A1549" i="1"/>
  <c r="A1542" i="6" s="1"/>
  <c r="A1550" i="1"/>
  <c r="A1543" i="6" s="1"/>
  <c r="A1551" i="1"/>
  <c r="A1544" i="6" s="1"/>
  <c r="A1552" i="1"/>
  <c r="A1545" i="6" s="1"/>
  <c r="A1553" i="1"/>
  <c r="A1546" i="6" s="1"/>
  <c r="A1554" i="1"/>
  <c r="A1547" i="6" s="1"/>
  <c r="A1555" i="1"/>
  <c r="A1548" i="6" s="1"/>
  <c r="A1556" i="1"/>
  <c r="A1549" i="6" s="1"/>
  <c r="A1557" i="1"/>
  <c r="A1550" i="6" s="1"/>
  <c r="A1558" i="1"/>
  <c r="A1551" i="6" s="1"/>
  <c r="A1559" i="1"/>
  <c r="A1552" i="6" s="1"/>
  <c r="A1560" i="1"/>
  <c r="A1553" i="6" s="1"/>
  <c r="A1561" i="1"/>
  <c r="A1554" i="6" s="1"/>
  <c r="A1562" i="1"/>
  <c r="A1555" i="6" s="1"/>
  <c r="A1563" i="1"/>
  <c r="A1556" i="6" s="1"/>
  <c r="A1564" i="1"/>
  <c r="A1557" i="6" s="1"/>
  <c r="A1565" i="1"/>
  <c r="A1558" i="6" s="1"/>
  <c r="A1566" i="1"/>
  <c r="A1559" i="6" s="1"/>
  <c r="A1567" i="1"/>
  <c r="A1560" i="6" s="1"/>
  <c r="A1568" i="1"/>
  <c r="A1561" i="6" s="1"/>
  <c r="A1569" i="1"/>
  <c r="A1562" i="6" s="1"/>
  <c r="A1570" i="1"/>
  <c r="A1563" i="6" s="1"/>
  <c r="A1571" i="1"/>
  <c r="A1564" i="6" s="1"/>
  <c r="A1572" i="1"/>
  <c r="A1565" i="6" s="1"/>
  <c r="A1573" i="1"/>
  <c r="A1566" i="6" s="1"/>
  <c r="A1574" i="1"/>
  <c r="A1567" i="6" s="1"/>
  <c r="A1575" i="1"/>
  <c r="A1568" i="6" s="1"/>
  <c r="A1576" i="1"/>
  <c r="A1569" i="6" s="1"/>
  <c r="A1577" i="1"/>
  <c r="A1570" i="6" s="1"/>
  <c r="A1578" i="1"/>
  <c r="A1571" i="6" s="1"/>
  <c r="A1579" i="1"/>
  <c r="A1572" i="6" s="1"/>
  <c r="A1580" i="1"/>
  <c r="A1573" i="6" s="1"/>
  <c r="A1581" i="1"/>
  <c r="A1574" i="6" s="1"/>
  <c r="A1582" i="1"/>
  <c r="A1575" i="6" s="1"/>
  <c r="A1583" i="1"/>
  <c r="A1576" i="6" s="1"/>
  <c r="A1584" i="1"/>
  <c r="A1577" i="6" s="1"/>
  <c r="A1585" i="1"/>
  <c r="A1578" i="6" s="1"/>
  <c r="A1586" i="1"/>
  <c r="A1579" i="6" s="1"/>
  <c r="A1587" i="1"/>
  <c r="A1580" i="6" s="1"/>
  <c r="A1588" i="1"/>
  <c r="A1581" i="6" s="1"/>
  <c r="A1589" i="1"/>
  <c r="A1582" i="6" s="1"/>
  <c r="A1590" i="1"/>
  <c r="A1583" i="6" s="1"/>
  <c r="A1591" i="1"/>
  <c r="A1584" i="6" s="1"/>
  <c r="A1592" i="1"/>
  <c r="A1585" i="6" s="1"/>
  <c r="A1593" i="1"/>
  <c r="A1586" i="6" s="1"/>
  <c r="A1594" i="1"/>
  <c r="A1587" i="6" s="1"/>
  <c r="A1595" i="1"/>
  <c r="A1588" i="6" s="1"/>
  <c r="A1596" i="1"/>
  <c r="A1589" i="6" s="1"/>
  <c r="A1597" i="1"/>
  <c r="A1590" i="6" s="1"/>
  <c r="A1598" i="1"/>
  <c r="A1591" i="6" s="1"/>
  <c r="A1599" i="1"/>
  <c r="A1592" i="6" s="1"/>
  <c r="A1600" i="1"/>
  <c r="A1593" i="6" s="1"/>
  <c r="A1601" i="1"/>
  <c r="A1594" i="6" s="1"/>
  <c r="A1602" i="1"/>
  <c r="A1595" i="6" s="1"/>
  <c r="A1603" i="1"/>
  <c r="A1596" i="6" s="1"/>
  <c r="A1604" i="1"/>
  <c r="A1597" i="6" s="1"/>
  <c r="A1605" i="1"/>
  <c r="A1598" i="6" s="1"/>
  <c r="A1606" i="1"/>
  <c r="A1599" i="6" s="1"/>
  <c r="A1607" i="1"/>
  <c r="A1600" i="6" s="1"/>
  <c r="A1608" i="1"/>
  <c r="A1601" i="6" s="1"/>
  <c r="A1609" i="1"/>
  <c r="A1602" i="6" s="1"/>
  <c r="A1610" i="1"/>
  <c r="A1603" i="6" s="1"/>
  <c r="A1611" i="1"/>
  <c r="A1604" i="6" s="1"/>
  <c r="A1612" i="1"/>
  <c r="A1605" i="6" s="1"/>
  <c r="A1613" i="1"/>
  <c r="A1606" i="6" s="1"/>
  <c r="A1614" i="1"/>
  <c r="A1607" i="6" s="1"/>
  <c r="A1615" i="1"/>
  <c r="A1608" i="6" s="1"/>
  <c r="A1616" i="1"/>
  <c r="A1609" i="6" s="1"/>
  <c r="A1617" i="1"/>
  <c r="A1610" i="6" s="1"/>
  <c r="A1618" i="1"/>
  <c r="A1611" i="6" s="1"/>
  <c r="A1619" i="1"/>
  <c r="A1612" i="6" s="1"/>
  <c r="A1620" i="1"/>
  <c r="A1613" i="6" s="1"/>
  <c r="A1621" i="1"/>
  <c r="A1614" i="6" s="1"/>
  <c r="A1622" i="1"/>
  <c r="A1615" i="6" s="1"/>
  <c r="A1623" i="1"/>
  <c r="A1616" i="6" s="1"/>
  <c r="A1624" i="1"/>
  <c r="A1617" i="6" s="1"/>
  <c r="A1625" i="1"/>
  <c r="A1618" i="6" s="1"/>
  <c r="A1626" i="1"/>
  <c r="A1619" i="6" s="1"/>
  <c r="A1627" i="1"/>
  <c r="A1620" i="6" s="1"/>
  <c r="A1628" i="1"/>
  <c r="A1621" i="6" s="1"/>
  <c r="A1629" i="1"/>
  <c r="A1622" i="6" s="1"/>
  <c r="A1630" i="1"/>
  <c r="A1623" i="6" s="1"/>
  <c r="A1631" i="1"/>
  <c r="A1624" i="6" s="1"/>
  <c r="A1632" i="1"/>
  <c r="A1625" i="6" s="1"/>
  <c r="A1633" i="1"/>
  <c r="A1626" i="6" s="1"/>
  <c r="A1634" i="1"/>
  <c r="A1627" i="6" s="1"/>
  <c r="A1635" i="1"/>
  <c r="A1628" i="6" s="1"/>
  <c r="A1636" i="1"/>
  <c r="A1629" i="6" s="1"/>
  <c r="A1637" i="1"/>
  <c r="A1630" i="6" s="1"/>
  <c r="A1638" i="1"/>
  <c r="A1631" i="6" s="1"/>
  <c r="A1639" i="1"/>
  <c r="A1632" i="6" s="1"/>
  <c r="A1640" i="1"/>
  <c r="A1633" i="6" s="1"/>
  <c r="A1641" i="1"/>
  <c r="A1634" i="6" s="1"/>
  <c r="A1642" i="1"/>
  <c r="A1635" i="6" s="1"/>
  <c r="A1643" i="1"/>
  <c r="A1636" i="6" s="1"/>
  <c r="A1644" i="1"/>
  <c r="A1637" i="6" s="1"/>
  <c r="A1645" i="1"/>
  <c r="A1638" i="6" s="1"/>
  <c r="A1646" i="1"/>
  <c r="A1639" i="6" s="1"/>
  <c r="A1647" i="1"/>
  <c r="A1640" i="6" s="1"/>
  <c r="A1648" i="1"/>
  <c r="A1641" i="6" s="1"/>
  <c r="A1649" i="1"/>
  <c r="A1642" i="6" s="1"/>
  <c r="A1650" i="1"/>
  <c r="A1643" i="6" s="1"/>
  <c r="A1651" i="1"/>
  <c r="A1644" i="6" s="1"/>
  <c r="A1652" i="1"/>
  <c r="A1645" i="6" s="1"/>
  <c r="A1653" i="1"/>
  <c r="A1646" i="6" s="1"/>
  <c r="A1654" i="1"/>
  <c r="A1647" i="6" s="1"/>
  <c r="A1655" i="1"/>
  <c r="A1648" i="6" s="1"/>
  <c r="A1656" i="1"/>
  <c r="A1649" i="6" s="1"/>
  <c r="A1657" i="1"/>
  <c r="A1650" i="6" s="1"/>
  <c r="A1658" i="1"/>
  <c r="A1651" i="6" s="1"/>
  <c r="A1659" i="1"/>
  <c r="A1652" i="6" s="1"/>
  <c r="A1660" i="1"/>
  <c r="A1653" i="6" s="1"/>
  <c r="A1661" i="1"/>
  <c r="A1654" i="6" s="1"/>
  <c r="A1662" i="1"/>
  <c r="A1655" i="6" s="1"/>
  <c r="A1663" i="1"/>
  <c r="A1656" i="6" s="1"/>
  <c r="A1664" i="1"/>
  <c r="A1657" i="6" s="1"/>
  <c r="A1665" i="1"/>
  <c r="A1658" i="6" s="1"/>
  <c r="A1666" i="1"/>
  <c r="A1659" i="6" s="1"/>
  <c r="A1667" i="1"/>
  <c r="A1660" i="6" s="1"/>
  <c r="A1668" i="1"/>
  <c r="A1661" i="6" s="1"/>
  <c r="A1669" i="1"/>
  <c r="A1662" i="6" s="1"/>
  <c r="A1670" i="1"/>
  <c r="A1663" i="6" s="1"/>
  <c r="A1671" i="1"/>
  <c r="A1664" i="6" s="1"/>
  <c r="A1672" i="1"/>
  <c r="A1665" i="6" s="1"/>
  <c r="A1673" i="1"/>
  <c r="A1666" i="6" s="1"/>
  <c r="A1674" i="1"/>
  <c r="A1667" i="6" s="1"/>
  <c r="A1675" i="1"/>
  <c r="A1668" i="6" s="1"/>
  <c r="A1676" i="1"/>
  <c r="A1669" i="6" s="1"/>
  <c r="A1677" i="1"/>
  <c r="A1670" i="6" s="1"/>
  <c r="A1678" i="1"/>
  <c r="A1671" i="6" s="1"/>
  <c r="A1679" i="1"/>
  <c r="A1672" i="6" s="1"/>
  <c r="A1680" i="1"/>
  <c r="A1673" i="6" s="1"/>
  <c r="A1681" i="1"/>
  <c r="A1674" i="6" s="1"/>
  <c r="A1682" i="1"/>
  <c r="A1675" i="6" s="1"/>
  <c r="A1683" i="1"/>
  <c r="A1676" i="6" s="1"/>
  <c r="A1684" i="1"/>
  <c r="A1677" i="6" s="1"/>
  <c r="A1685" i="1"/>
  <c r="A1678" i="6" s="1"/>
  <c r="A1686" i="1"/>
  <c r="A1679" i="6" s="1"/>
  <c r="A1687" i="1"/>
  <c r="A1680" i="6" s="1"/>
  <c r="A1688" i="1"/>
  <c r="A1681" i="6" s="1"/>
  <c r="A1689" i="1"/>
  <c r="A1682" i="6" s="1"/>
  <c r="A1690" i="1"/>
  <c r="A1683" i="6" s="1"/>
  <c r="A1691" i="1"/>
  <c r="A1684" i="6" s="1"/>
  <c r="A1692" i="1"/>
  <c r="A1685" i="6" s="1"/>
  <c r="A1693" i="1"/>
  <c r="A1686" i="6" s="1"/>
  <c r="A1687" i="6"/>
  <c r="A1695" i="1"/>
  <c r="A1688" i="6" s="1"/>
  <c r="A1696" i="1"/>
  <c r="A1689" i="6" s="1"/>
  <c r="A1697" i="1"/>
  <c r="A1690" i="6" s="1"/>
  <c r="A11" i="1"/>
  <c r="A4" i="6" s="1"/>
  <c r="M2" i="7" l="1"/>
  <c r="F1" i="6"/>
  <c r="R2" i="7"/>
  <c r="Q2" i="7"/>
  <c r="N2" i="7"/>
  <c r="P2" i="7"/>
  <c r="J2" i="7"/>
  <c r="C1" i="6"/>
  <c r="I2" i="7"/>
</calcChain>
</file>

<file path=xl/sharedStrings.xml><?xml version="1.0" encoding="utf-8"?>
<sst xmlns="http://schemas.openxmlformats.org/spreadsheetml/2006/main" count="483" uniqueCount="115">
  <si>
    <t>№ п/п</t>
  </si>
  <si>
    <t>ФИО</t>
  </si>
  <si>
    <t>Почта roskazna</t>
  </si>
  <si>
    <t>телефон 
мобильный</t>
  </si>
  <si>
    <t>телефон 
внутренный</t>
  </si>
  <si>
    <t>Отдел №</t>
  </si>
  <si>
    <t>Охрана труда (год)</t>
  </si>
  <si>
    <t>Кобзев Валерий Андреевич</t>
  </si>
  <si>
    <t>+</t>
  </si>
  <si>
    <t>Статус 
сотрудника</t>
  </si>
  <si>
    <t>Ташполатова Барно Батыржановна</t>
  </si>
  <si>
    <t xml:space="preserve">Дата </t>
  </si>
  <si>
    <t>Событие</t>
  </si>
  <si>
    <t>Должность 
сотрудника</t>
  </si>
  <si>
    <t>Уволен</t>
  </si>
  <si>
    <t>Наименование</t>
  </si>
  <si>
    <t>Частота проведения (мес)</t>
  </si>
  <si>
    <t>Начальник отдела</t>
  </si>
  <si>
    <t>Активный</t>
  </si>
  <si>
    <t>Сотруднику</t>
  </si>
  <si>
    <t>Начальнику</t>
  </si>
  <si>
    <t>Ответственному</t>
  </si>
  <si>
    <t>Уважаемый сотрудник МБУ ФК, вам следует пройти инструктаж по дисциплине</t>
  </si>
  <si>
    <t>Уважаемый начальник отдела МБУ ФК, данным сотрудникам вашего отдела следует пройти инструктаж:</t>
  </si>
  <si>
    <t>Отчет по прождению инструктажей сотрудников МБУ ФК:</t>
  </si>
  <si>
    <t>vkobzev@roskazna.ru</t>
  </si>
  <si>
    <t>bar@roskazna.ru</t>
  </si>
  <si>
    <t>Пожарная безопасность (пол года)</t>
  </si>
  <si>
    <t>Ответственный</t>
  </si>
  <si>
    <t>Свод</t>
  </si>
  <si>
    <t>Статистика по должникам:  _x000D_Пожарная безопасность (пол года) (2 - должники, 0 - скоро проспрочат)  _x000D_Охрана труда (год) (1 - должники, 1 - скоро проспрочат)  _x000D_Еще что-то (квартал) (0 - должники, 1 - скоро проспрочат)  _x000D_</t>
  </si>
  <si>
    <t>Статистика по должникам:  _x000D_Пожарная безопасность (пол года) (2 - должники, 0 - скоро проcрочат)  _x000D_Охрана труда (год) (1 - должники, 1 - скоро проcрочат)  _x000D_Еще что-то (квартал) (0 - должники, 1 - скоро проcрочат)  _x000D_</t>
  </si>
  <si>
    <t>Статистика по должникам:  _x000D_Пожарная безопасность (пол года) (2 - должники, 0 - скоро проcрочат)  _x000D_Охрана труда (год) (2 - должники, 0 - скоро проcрочат)  _x000D_Еще что-то (квартал) (1 - должники, 0 - скоро проcрочат)  _x000D_</t>
  </si>
  <si>
    <t>Статистика по должникам:  _x000D_Пожарная безопасность (пол года) (2 - должники, 0 - скоро проcрочат)  _x000D_Охрана труда (год) (2 - должники, 0 - скоро проcрочат)  _x000D_Еще что-то (квартал) (0 - должники, 1 - скоро проcрочат)  _x000D_</t>
  </si>
  <si>
    <t>Статистика по должникам:  &lt;br&gt;Пожарная безопасность (пол года) (2 - должники, 0 - скоро проcрочат)  &lt;br&gt;Охрана труда (год) (1 - должники, 1 - скоро проcрочат)  &lt;br&gt;Еще что-то (квартал) (0 - должники, 1 - скоро проcрочат)  &lt;br&gt;</t>
  </si>
  <si>
    <t>Статистика по должникам:  &lt;br&gt;&lt;b&gt;Пожарная безопасность (пол года)&lt;/b&gt;&lt;br&gt;До даты инструктожа(0):&lt;br&gt; - Руднев Николай Павлович (Не проходил инструктаж)&lt;br&gt;Проспрочили дату инстуктожа(2):&lt;br&gt; - Кобзев Валерий Андреевич (Просрочено на 67 дней)&lt;br&gt;&lt;br&gt;&lt;b&gt;Охрана труда (год)&lt;/b&gt;&lt;br&gt;До даты инструктожа(1):&lt;br&gt; - Кобзев Валерий Андреевич (Не проходил инструктаж)&lt;br&gt; - Сотрудник 3 отдела 50 (Осталось 10 дней до просрочки)&lt;br&gt;Проспрочили дату инстуктожа(1):&lt;br&gt;&lt;br&gt;&lt;b&gt;Еще что-то (квартал)&lt;/b&gt;&lt;br&gt;До даты инструктожа(1):&lt;br&gt; - Кобзев Валерий Андреевич (Осталось 9 дней до просрочки)&lt;br&gt;Проспрочили дату инстуктожа(0):&lt;br&gt;&lt;br&gt;</t>
  </si>
  <si>
    <t>Запись 1</t>
  </si>
  <si>
    <t>Запись 2</t>
  </si>
  <si>
    <t>Запись 3</t>
  </si>
  <si>
    <t>Запись 4</t>
  </si>
  <si>
    <t>Запись 5</t>
  </si>
  <si>
    <t>Запись 6</t>
  </si>
  <si>
    <t>Запись 7</t>
  </si>
  <si>
    <t>Запись 8</t>
  </si>
  <si>
    <t>Запись 9</t>
  </si>
  <si>
    <t>Запись 10</t>
  </si>
  <si>
    <t>Запись 11</t>
  </si>
  <si>
    <t>Запись 12</t>
  </si>
  <si>
    <t>Запись 13</t>
  </si>
  <si>
    <t>Запись 14</t>
  </si>
  <si>
    <t>Запись 15</t>
  </si>
  <si>
    <t>Запись 16</t>
  </si>
  <si>
    <t>Запись 17</t>
  </si>
  <si>
    <t>Запись 18</t>
  </si>
  <si>
    <t>Запись 19</t>
  </si>
  <si>
    <t>Запись 20</t>
  </si>
  <si>
    <t>Запись 21</t>
  </si>
  <si>
    <t>Запись 22</t>
  </si>
  <si>
    <t>Запись 23</t>
  </si>
  <si>
    <t>Запись 24</t>
  </si>
  <si>
    <t>Запись 25</t>
  </si>
  <si>
    <t>Запись 26</t>
  </si>
  <si>
    <t>Запись 27</t>
  </si>
  <si>
    <t>Запись 28</t>
  </si>
  <si>
    <t>Запись 29</t>
  </si>
  <si>
    <t>Запись 30</t>
  </si>
  <si>
    <t>Запись 31</t>
  </si>
  <si>
    <t>Запись 32</t>
  </si>
  <si>
    <t>Запись 33</t>
  </si>
  <si>
    <t>Запись 34</t>
  </si>
  <si>
    <t>Запись 35</t>
  </si>
  <si>
    <t>Запись 36</t>
  </si>
  <si>
    <t>Запись 37</t>
  </si>
  <si>
    <t>Запись 38</t>
  </si>
  <si>
    <t>Запись 39</t>
  </si>
  <si>
    <t>Запись 40</t>
  </si>
  <si>
    <t>Запись 41</t>
  </si>
  <si>
    <t>Запись 42</t>
  </si>
  <si>
    <t>Запись 43</t>
  </si>
  <si>
    <t>Запись 44</t>
  </si>
  <si>
    <t>Запись 45</t>
  </si>
  <si>
    <t>Запись 46</t>
  </si>
  <si>
    <t>Запись 47</t>
  </si>
  <si>
    <t>Запись 48</t>
  </si>
  <si>
    <t>FIO</t>
  </si>
  <si>
    <t>adress</t>
  </si>
  <si>
    <t>tel_1</t>
  </si>
  <si>
    <t>tel_2</t>
  </si>
  <si>
    <t>otdel</t>
  </si>
  <si>
    <t>msg</t>
  </si>
  <si>
    <t>Телефон 
мобильный</t>
  </si>
  <si>
    <t>Телефон 
внутренный</t>
  </si>
  <si>
    <t>Апиков Ислам Борисович</t>
  </si>
  <si>
    <t>iapikov@roskazna.ru</t>
  </si>
  <si>
    <t>Ахматханов Бекхан Аюбович</t>
  </si>
  <si>
    <t>bahmathanov@roskazna.ru</t>
  </si>
  <si>
    <t>Завьялова Татьяна Алексеевна</t>
  </si>
  <si>
    <t>tzavyalova@roskazna.ru</t>
  </si>
  <si>
    <t>Кузьмина Арина Алексеевна</t>
  </si>
  <si>
    <t>arkuzmina@roskazna.ru</t>
  </si>
  <si>
    <t>gtonoyan@roskazna.ru</t>
  </si>
  <si>
    <t>Тоноян Грант Егишевич</t>
  </si>
  <si>
    <t>Электробезопасность (3 мес)</t>
  </si>
  <si>
    <t>Зам. начальника отдела</t>
  </si>
  <si>
    <t>Запылихин Владислав Сергеевич</t>
  </si>
  <si>
    <t>Миленькая Яна Александровна</t>
  </si>
  <si>
    <t>Мяликов Эмиль Рустямович</t>
  </si>
  <si>
    <t>emyalikov@roskazna.ru</t>
  </si>
  <si>
    <t xml:space="preserve"> </t>
  </si>
  <si>
    <t>yamilenkaya@roskazna.ru</t>
  </si>
  <si>
    <t>vzapylihin@roskazna.ru</t>
  </si>
  <si>
    <t>Черный Александр Петрович</t>
  </si>
  <si>
    <t>cherniyap@roskazna.ru</t>
  </si>
  <si>
    <t>Гридасов Максим Александрович</t>
  </si>
  <si>
    <t>GridasovMA@roskazna.ru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</si>
</sst>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8FBDD8"/>
      <name val="Calibri"/>
      <family val="2"/>
      <scheme val="minor"/>
    </font>
    <font>
      <b/>
      <sz val="11"/>
      <color rgb="FF8FBDD8"/>
      <name val="Calibri"/>
      <family val="2"/>
      <scheme val="minor"/>
    </font>
    <font>
      <b/>
      <sz val="11"/>
      <color theme="0"/>
      <name val="Times New Roman"/>
      <family val="1"/>
      <charset val="204"/>
    </font>
    <font>
      <b/>
      <sz val="16"/>
      <color theme="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FBDD8"/>
        <bgColor indexed="64"/>
      </patternFill>
    </fill>
    <fill>
      <patternFill patternType="solid">
        <fgColor rgb="FFA9BD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0" fontId="4" fillId="0" borderId="1" xfId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14" fontId="5" fillId="0" borderId="0" xfId="0" applyNumberFormat="1" applyFont="1"/>
    <xf numFmtId="0" fontId="0" fillId="3" borderId="0" xfId="0" applyFill="1"/>
    <xf numFmtId="0" fontId="0" fillId="3" borderId="0" xfId="0" applyFill="1" applyAlignment="1">
      <alignment horizontal="center"/>
    </xf>
    <xf numFmtId="14" fontId="0" fillId="0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3" xfId="0" applyBorder="1"/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4" fontId="0" fillId="0" borderId="3" xfId="0" applyNumberFormat="1" applyBorder="1"/>
    <xf numFmtId="0" fontId="3" fillId="0" borderId="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 wrapText="1"/>
    </xf>
    <xf numFmtId="0" fontId="7" fillId="3" borderId="0" xfId="0" applyFont="1" applyFill="1" applyBorder="1"/>
    <xf numFmtId="0" fontId="8" fillId="3" borderId="0" xfId="0" applyFont="1" applyFill="1" applyBorder="1" applyAlignment="1">
      <alignment horizontal="center" wrapText="1"/>
    </xf>
    <xf numFmtId="0" fontId="9" fillId="3" borderId="0" xfId="0" applyFont="1" applyFill="1" applyBorder="1"/>
    <xf numFmtId="0" fontId="10" fillId="3" borderId="0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1" fillId="3" borderId="0" xfId="0" applyFont="1" applyFill="1"/>
    <xf numFmtId="0" fontId="0" fillId="2" borderId="1" xfId="0" applyFill="1" applyBorder="1" applyAlignment="1">
      <alignment horizontal="center" vertical="center"/>
    </xf>
    <xf numFmtId="0" fontId="4" fillId="0" borderId="1" xfId="1" applyBorder="1" applyAlignment="1">
      <alignment horizont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</xf>
    <xf numFmtId="0" fontId="12" fillId="3" borderId="0" xfId="0" applyFont="1" applyFill="1" applyAlignment="1">
      <alignment vertical="center"/>
    </xf>
    <xf numFmtId="0" fontId="1" fillId="4" borderId="2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8FBDD8"/>
      <color rgb="FF2E3D51"/>
      <color rgb="FFA9BD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2124076</xdr:colOff>
      <xdr:row>3</xdr:row>
      <xdr:rowOff>371475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628900" cy="1362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</xdr:row>
          <xdr:rowOff>0</xdr:rowOff>
        </xdr:from>
        <xdr:to>
          <xdr:col>3</xdr:col>
          <xdr:colOff>514350</xdr:colOff>
          <xdr:row>3</xdr:row>
          <xdr:rowOff>342900</xdr:rowOff>
        </xdr:to>
        <xdr:sp macro="" textlink="">
          <xdr:nvSpPr>
            <xdr:cNvPr id="2082" name="CommandButton1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1</xdr:row>
          <xdr:rowOff>0</xdr:rowOff>
        </xdr:from>
        <xdr:to>
          <xdr:col>4</xdr:col>
          <xdr:colOff>1209675</xdr:colOff>
          <xdr:row>3</xdr:row>
          <xdr:rowOff>342900</xdr:rowOff>
        </xdr:to>
        <xdr:sp macro="" textlink="">
          <xdr:nvSpPr>
            <xdr:cNvPr id="2089" name="CommandButton2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1581150</xdr:colOff>
          <xdr:row>1</xdr:row>
          <xdr:rowOff>0</xdr:rowOff>
        </xdr:from>
        <xdr:to>
          <xdr:col>6</xdr:col>
          <xdr:colOff>866775</xdr:colOff>
          <xdr:row>3</xdr:row>
          <xdr:rowOff>342900</xdr:rowOff>
        </xdr:to>
        <xdr:sp macro="" textlink="">
          <xdr:nvSpPr>
            <xdr:cNvPr id="2090" name="CommandButton3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9525</xdr:rowOff>
        </xdr:from>
        <xdr:to>
          <xdr:col>8</xdr:col>
          <xdr:colOff>28575</xdr:colOff>
          <xdr:row>3</xdr:row>
          <xdr:rowOff>352425</xdr:rowOff>
        </xdr:to>
        <xdr:sp macro="" textlink="">
          <xdr:nvSpPr>
            <xdr:cNvPr id="2091" name="CommandButton4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1562100</xdr:colOff>
      <xdr:row>0</xdr:row>
      <xdr:rowOff>428625</xdr:rowOff>
    </xdr:from>
    <xdr:to>
      <xdr:col>10</xdr:col>
      <xdr:colOff>76200</xdr:colOff>
      <xdr:row>4</xdr:row>
      <xdr:rowOff>9525</xdr:rowOff>
    </xdr:to>
    <xdr:sp macro="" textlink="">
      <xdr:nvSpPr>
        <xdr:cNvPr id="4" name="Прямоугольник 3"/>
        <xdr:cNvSpPr/>
      </xdr:nvSpPr>
      <xdr:spPr>
        <a:xfrm>
          <a:off x="13887450" y="428625"/>
          <a:ext cx="2647950" cy="1066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Группа тех. поддержки</a:t>
          </a:r>
          <a:endParaRPr lang="en-US" sz="1100" b="1" i="0" u="none" strike="noStrike">
            <a:solidFill>
              <a:schemeClr val="tx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l"/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Главный специалист-эксперт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</a:t>
          </a: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</a:t>
          </a:r>
          <a:r>
            <a:rPr lang="en-US" sz="1200" b="1" i="0" u="none" strike="noStrike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b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Кобзев В.А. 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 b="1" i="0" u="none" strike="noStrike">
            <a:solidFill>
              <a:schemeClr val="tx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l"/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тел: 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8 (495) 214-96-00</a:t>
          </a: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</a:t>
          </a:r>
          <a:r>
            <a:rPr lang="ru-RU" sz="1200" b="1" i="0" u="none" strike="noStrike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доп.</a:t>
          </a: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6910</a:t>
          </a:r>
          <a:r>
            <a:rPr lang="ru-RU" sz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l"/>
          <a:r>
            <a:rPr lang="en-US" sz="12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email:</a:t>
          </a:r>
          <a:r>
            <a:rPr lang="en-US" sz="12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vkobzev@roskazna.ru</a:t>
          </a:r>
          <a:endParaRPr lang="ru-RU" sz="12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10</xdr:col>
      <xdr:colOff>409576</xdr:colOff>
      <xdr:row>0</xdr:row>
      <xdr:rowOff>66675</xdr:rowOff>
    </xdr:from>
    <xdr:to>
      <xdr:col>10</xdr:col>
      <xdr:colOff>1213758</xdr:colOff>
      <xdr:row>3</xdr:row>
      <xdr:rowOff>14288</xdr:rowOff>
    </xdr:to>
    <xdr:pic macro="[0]!Сообщение_помощь"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68776" y="66675"/>
          <a:ext cx="804182" cy="9382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myalikov@roskazna.ru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iapikov@roskazna.ru" TargetMode="External"/><Relationship Id="rId7" Type="http://schemas.openxmlformats.org/officeDocument/2006/relationships/hyperlink" Target="mailto:gtonoyan@roskazna.ru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tzavyalova@roskazna.ru" TargetMode="External"/><Relationship Id="rId16" Type="http://schemas.openxmlformats.org/officeDocument/2006/relationships/image" Target="../media/image2.emf"/><Relationship Id="rId20" Type="http://schemas.openxmlformats.org/officeDocument/2006/relationships/image" Target="../media/image4.emf"/><Relationship Id="rId1" Type="http://schemas.openxmlformats.org/officeDocument/2006/relationships/hyperlink" Target="mailto:bar@roskazna.ru" TargetMode="External"/><Relationship Id="rId6" Type="http://schemas.openxmlformats.org/officeDocument/2006/relationships/hyperlink" Target="mailto:vkobzev@roskazna.ru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kuzmina@roskazna.ru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19" Type="http://schemas.openxmlformats.org/officeDocument/2006/relationships/control" Target="../activeX/activeX4.xml"/><Relationship Id="rId4" Type="http://schemas.openxmlformats.org/officeDocument/2006/relationships/hyperlink" Target="mailto:bahmathanov@roskazna.ru" TargetMode="External"/><Relationship Id="rId9" Type="http://schemas.openxmlformats.org/officeDocument/2006/relationships/hyperlink" Target="mailto:yamilenkaya@roskazna.ru" TargetMode="External"/><Relationship Id="rId1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apikov@roskazna.r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92D050"/>
  </sheetPr>
  <dimension ref="A1:Q1697"/>
  <sheetViews>
    <sheetView tabSelected="1" workbookViewId="0">
      <selection activeCell="F18" sqref="F18"/>
    </sheetView>
  </sheetViews>
  <sheetFormatPr defaultRowHeight="15" x14ac:dyDescent="0.25"/>
  <cols>
    <col min="1" max="1" width="7.5703125" style="3" customWidth="1"/>
    <col min="2" max="2" width="33.5703125" style="9" bestFit="1" customWidth="1"/>
    <col min="3" max="3" width="27.7109375" style="3" customWidth="1"/>
    <col min="4" max="5" width="25.7109375" style="3" customWidth="1"/>
    <col min="6" max="6" width="15.85546875" style="3" customWidth="1"/>
    <col min="7" max="7" width="17.7109375" style="3" customWidth="1"/>
    <col min="8" max="10" width="31" style="3" customWidth="1"/>
    <col min="11" max="11" width="21.140625" style="49" customWidth="1"/>
    <col min="12" max="17" width="31" style="49" customWidth="1"/>
    <col min="18" max="16384" width="9.140625" style="49"/>
  </cols>
  <sheetData>
    <row r="1" spans="1:17" s="47" customFormat="1" ht="38.25" customHeight="1" x14ac:dyDescent="0.25">
      <c r="A1" s="24"/>
      <c r="B1" s="24"/>
      <c r="C1" s="24"/>
      <c r="D1" s="24"/>
      <c r="E1" s="24"/>
      <c r="F1" s="25"/>
      <c r="G1" s="24"/>
      <c r="H1" s="24"/>
      <c r="I1" s="24"/>
      <c r="J1" s="24"/>
    </row>
    <row r="2" spans="1:17" s="47" customFormat="1" ht="23.25" customHeight="1" x14ac:dyDescent="0.25">
      <c r="A2" s="24"/>
      <c r="B2" s="24"/>
      <c r="C2" s="24"/>
      <c r="D2" s="24"/>
      <c r="E2" s="24"/>
      <c r="F2" s="25"/>
      <c r="G2" s="24"/>
      <c r="H2" s="24"/>
      <c r="I2" s="24"/>
      <c r="J2" s="56"/>
      <c r="K2" s="60"/>
    </row>
    <row r="3" spans="1:17" s="47" customFormat="1" ht="16.5" customHeight="1" x14ac:dyDescent="0.25">
      <c r="A3" s="24"/>
      <c r="B3" s="24"/>
      <c r="C3" s="24"/>
      <c r="D3" s="24"/>
      <c r="E3" s="24"/>
      <c r="F3" s="25"/>
      <c r="G3" s="24"/>
      <c r="H3" s="24"/>
      <c r="I3" s="24"/>
      <c r="J3" s="51"/>
      <c r="K3" s="60"/>
    </row>
    <row r="4" spans="1:17" s="47" customFormat="1" ht="39" customHeight="1" x14ac:dyDescent="0.25">
      <c r="A4" s="24"/>
      <c r="B4" s="24"/>
      <c r="C4" s="24"/>
      <c r="D4" s="24"/>
      <c r="E4" s="24"/>
      <c r="F4" s="25"/>
      <c r="G4" s="24"/>
      <c r="H4" s="24"/>
      <c r="I4" s="24"/>
      <c r="J4" s="24"/>
      <c r="K4" s="60"/>
    </row>
    <row r="5" spans="1:17" s="47" customFormat="1" ht="5.25" customHeight="1" x14ac:dyDescent="0.25">
      <c r="A5" s="24"/>
      <c r="B5" s="24"/>
      <c r="C5" s="24"/>
      <c r="D5" s="24"/>
      <c r="E5" s="24"/>
      <c r="F5" s="25"/>
      <c r="G5" s="24"/>
      <c r="H5" s="24"/>
      <c r="I5" s="24"/>
      <c r="J5" s="24"/>
    </row>
    <row r="6" spans="1:17" s="47" customFormat="1" x14ac:dyDescent="0.25">
      <c r="A6" s="24"/>
      <c r="B6" s="24"/>
      <c r="C6" s="24"/>
      <c r="D6" s="24"/>
      <c r="E6" s="24"/>
      <c r="F6" s="25"/>
      <c r="G6" s="24"/>
      <c r="H6" s="24"/>
      <c r="I6" s="24"/>
      <c r="J6" s="24"/>
    </row>
    <row r="7" spans="1:17" s="48" customFormat="1" ht="24.75" customHeight="1" x14ac:dyDescent="0.25">
      <c r="A7" s="57" t="s">
        <v>0</v>
      </c>
      <c r="B7" s="57" t="s">
        <v>1</v>
      </c>
      <c r="C7" s="57" t="s">
        <v>2</v>
      </c>
      <c r="D7" s="57" t="s">
        <v>90</v>
      </c>
      <c r="E7" s="57" t="s">
        <v>91</v>
      </c>
      <c r="F7" s="57" t="s">
        <v>5</v>
      </c>
      <c r="G7" s="57" t="s">
        <v>9</v>
      </c>
      <c r="H7" s="57" t="str">
        <f>IF(Мероприятия!$B3&lt;&gt;"",Мероприятия!$B3,"")</f>
        <v>Пожарная безопасность (пол года)</v>
      </c>
      <c r="I7" s="57" t="str">
        <f>IF(Мероприятия!$B4&lt;&gt;"",Мероприятия!$B4,"")</f>
        <v>Охрана труда (год)</v>
      </c>
      <c r="J7" s="58" t="str">
        <f>IF(Мероприятия!$B5&lt;&gt;"",Мероприятия!$B5,"")</f>
        <v>Электробезопасность (3 мес)</v>
      </c>
      <c r="K7" s="59" t="str">
        <f>IF(Мероприятия!$B6&lt;&gt;"",Мероприятия!$B6,"")</f>
        <v/>
      </c>
      <c r="L7" s="59" t="str">
        <f>IF(Мероприятия!$B7&lt;&gt;"",Мероприятия!$B7,"")</f>
        <v/>
      </c>
      <c r="M7" s="59" t="str">
        <f>IF(Мероприятия!$B8&lt;&gt;"",Мероприятия!$B8,"")</f>
        <v/>
      </c>
      <c r="N7" s="59" t="str">
        <f>IF(Мероприятия!$B9&lt;&gt;"",Мероприятия!$B9,"")</f>
        <v/>
      </c>
      <c r="O7" s="59" t="str">
        <f>IF(Мероприятия!$B10&lt;&gt;"",Мероприятия!$B10,"")</f>
        <v/>
      </c>
      <c r="P7" s="59" t="str">
        <f>IF(Мероприятия!$B11&lt;&gt;"",Мероприятия!$B11,"")</f>
        <v/>
      </c>
      <c r="Q7" s="59" t="str">
        <f>IF(Мероприятия!$B12&lt;&gt;"",Мероприятия!$B12,"")</f>
        <v/>
      </c>
    </row>
    <row r="8" spans="1:17" s="48" customFormat="1" ht="24.95" customHeight="1" x14ac:dyDescent="0.25">
      <c r="A8" s="57" t="s">
        <v>0</v>
      </c>
      <c r="B8" s="57" t="s">
        <v>1</v>
      </c>
      <c r="C8" s="57" t="s">
        <v>2</v>
      </c>
      <c r="D8" s="57" t="s">
        <v>90</v>
      </c>
      <c r="E8" s="57" t="s">
        <v>91</v>
      </c>
      <c r="F8" s="57" t="s">
        <v>5</v>
      </c>
      <c r="G8" s="57" t="s">
        <v>9</v>
      </c>
      <c r="H8" s="57" t="str">
        <f>IF(Мероприятия!$B4&lt;&gt;"",Мероприятия!$B3,"")</f>
        <v>Пожарная безопасность (пол года)</v>
      </c>
      <c r="I8" s="57" t="str">
        <f>IF(Мероприятия!$B5&lt;&gt;"",Мероприятия!$B4,"")</f>
        <v>Охрана труда (год)</v>
      </c>
      <c r="J8" s="58" t="str">
        <f>IF(Мероприятия!$B5&lt;&gt;"",Мероприятия!$B5,"")</f>
        <v>Электробезопасность (3 мес)</v>
      </c>
      <c r="K8" s="59"/>
      <c r="L8" s="59"/>
      <c r="M8" s="59"/>
      <c r="N8" s="59"/>
      <c r="O8" s="59"/>
      <c r="P8" s="59"/>
      <c r="Q8" s="59"/>
    </row>
    <row r="9" spans="1:17" ht="15" customHeight="1" x14ac:dyDescent="0.25">
      <c r="A9" s="14">
        <f>IF(B9&lt;&gt; "",ROW(B9) - 8,"")</f>
        <v>1</v>
      </c>
      <c r="B9" s="72" t="s">
        <v>101</v>
      </c>
      <c r="C9" s="19" t="s">
        <v>100</v>
      </c>
      <c r="D9" s="14" t="s">
        <v>8</v>
      </c>
      <c r="E9" s="14">
        <v>6996</v>
      </c>
      <c r="F9" s="14">
        <v>23</v>
      </c>
      <c r="G9" s="14" t="s">
        <v>18</v>
      </c>
      <c r="H9" s="26">
        <v>44501</v>
      </c>
      <c r="I9" s="26">
        <v>44381</v>
      </c>
      <c r="J9" s="26">
        <v>44593</v>
      </c>
    </row>
    <row r="10" spans="1:17" ht="15" customHeight="1" x14ac:dyDescent="0.25">
      <c r="A10" s="14">
        <f t="shared" ref="A10" si="0">IF(B10&lt;&gt; "",ROW(B10) - 8,"")</f>
        <v>2</v>
      </c>
      <c r="B10" s="72" t="s">
        <v>10</v>
      </c>
      <c r="C10" s="19" t="s">
        <v>26</v>
      </c>
      <c r="D10" s="14" t="s">
        <v>8</v>
      </c>
      <c r="E10" s="14">
        <v>6911</v>
      </c>
      <c r="F10" s="14">
        <v>23</v>
      </c>
      <c r="G10" s="14" t="s">
        <v>14</v>
      </c>
      <c r="H10" s="26">
        <v>44246</v>
      </c>
      <c r="I10" s="26">
        <v>44348</v>
      </c>
      <c r="J10" s="14"/>
    </row>
    <row r="11" spans="1:17" ht="15" customHeight="1" x14ac:dyDescent="0.25">
      <c r="A11" s="14">
        <f>IF(B11&lt;&gt; "",ROW(B11) - 8,"")</f>
        <v>3</v>
      </c>
      <c r="B11" s="72" t="s">
        <v>96</v>
      </c>
      <c r="C11" s="19" t="s">
        <v>97</v>
      </c>
      <c r="D11" s="14" t="s">
        <v>8</v>
      </c>
      <c r="E11" s="14">
        <v>6918</v>
      </c>
      <c r="F11" s="14">
        <v>23</v>
      </c>
      <c r="G11" s="14" t="s">
        <v>18</v>
      </c>
      <c r="H11" s="14"/>
      <c r="I11" s="26">
        <v>44388</v>
      </c>
      <c r="J11" s="26">
        <v>44562</v>
      </c>
    </row>
    <row r="12" spans="1:17" ht="15" customHeight="1" x14ac:dyDescent="0.25">
      <c r="A12" s="14">
        <f t="shared" ref="A12:A72" si="1">IF(B12&lt;&gt; "",ROW(B12) - 8,"")</f>
        <v>4</v>
      </c>
      <c r="B12" s="72" t="s">
        <v>98</v>
      </c>
      <c r="C12" s="19" t="s">
        <v>99</v>
      </c>
      <c r="D12" s="14" t="s">
        <v>8</v>
      </c>
      <c r="E12" s="14">
        <v>6916</v>
      </c>
      <c r="F12" s="14">
        <v>23</v>
      </c>
      <c r="G12" s="14" t="s">
        <v>18</v>
      </c>
      <c r="H12" s="26">
        <v>44501</v>
      </c>
      <c r="I12" s="26">
        <v>44429</v>
      </c>
      <c r="J12" s="26">
        <v>44531</v>
      </c>
    </row>
    <row r="13" spans="1:17" ht="15" customHeight="1" x14ac:dyDescent="0.25">
      <c r="A13" s="14">
        <f>IF(B13&lt;&gt; "",ROW(B13) - 8,"")</f>
        <v>5</v>
      </c>
      <c r="B13" s="72" t="s">
        <v>7</v>
      </c>
      <c r="C13" s="19" t="s">
        <v>25</v>
      </c>
      <c r="D13" s="14" t="s">
        <v>8</v>
      </c>
      <c r="E13" s="14">
        <v>6910</v>
      </c>
      <c r="F13" s="14">
        <v>23</v>
      </c>
      <c r="G13" s="14" t="s">
        <v>18</v>
      </c>
      <c r="H13" s="26">
        <v>44440</v>
      </c>
      <c r="I13" s="14"/>
      <c r="J13" s="26">
        <v>44583</v>
      </c>
    </row>
    <row r="14" spans="1:17" ht="15" customHeight="1" x14ac:dyDescent="0.25">
      <c r="A14" s="14">
        <f t="shared" si="1"/>
        <v>6</v>
      </c>
      <c r="B14" s="72" t="s">
        <v>94</v>
      </c>
      <c r="C14" s="19" t="s">
        <v>95</v>
      </c>
      <c r="D14" s="14" t="s">
        <v>8</v>
      </c>
      <c r="E14" s="14">
        <v>6914</v>
      </c>
      <c r="F14" s="14">
        <v>16</v>
      </c>
      <c r="G14" s="14" t="s">
        <v>18</v>
      </c>
      <c r="H14" s="26">
        <v>44536</v>
      </c>
      <c r="I14" s="26">
        <v>44305</v>
      </c>
      <c r="J14" s="26">
        <v>44634</v>
      </c>
    </row>
    <row r="15" spans="1:17" ht="15" customHeight="1" x14ac:dyDescent="0.25">
      <c r="A15" s="14">
        <f t="shared" si="1"/>
        <v>7</v>
      </c>
      <c r="B15" s="72" t="s">
        <v>92</v>
      </c>
      <c r="C15" s="19" t="s">
        <v>93</v>
      </c>
      <c r="D15" s="14" t="s">
        <v>8</v>
      </c>
      <c r="E15" s="14">
        <v>6907</v>
      </c>
      <c r="F15" s="14">
        <v>16</v>
      </c>
      <c r="G15" s="14" t="s">
        <v>18</v>
      </c>
      <c r="H15" s="26">
        <v>44537</v>
      </c>
      <c r="I15" s="26">
        <v>44378</v>
      </c>
      <c r="J15" s="26">
        <v>44606</v>
      </c>
    </row>
    <row r="16" spans="1:17" ht="15" customHeight="1" x14ac:dyDescent="0.25">
      <c r="A16" s="14">
        <f t="shared" si="1"/>
        <v>8</v>
      </c>
      <c r="B16" s="15" t="s">
        <v>104</v>
      </c>
      <c r="C16" s="19" t="s">
        <v>110</v>
      </c>
      <c r="D16" s="14" t="s">
        <v>8</v>
      </c>
      <c r="E16" s="14">
        <v>6957</v>
      </c>
      <c r="F16" s="14">
        <v>16</v>
      </c>
      <c r="G16" s="14" t="s">
        <v>18</v>
      </c>
      <c r="H16" s="26">
        <v>44536</v>
      </c>
      <c r="I16" s="26">
        <v>44306</v>
      </c>
      <c r="J16" s="26">
        <v>44582</v>
      </c>
    </row>
    <row r="17" spans="1:10" ht="15" customHeight="1" x14ac:dyDescent="0.25">
      <c r="A17" s="14">
        <f>IF(B17&lt;&gt; "",ROW(B17) - 8,"")</f>
        <v>9</v>
      </c>
      <c r="B17" s="15" t="s">
        <v>105</v>
      </c>
      <c r="C17" s="19" t="s">
        <v>109</v>
      </c>
      <c r="D17" s="14" t="s">
        <v>8</v>
      </c>
      <c r="E17" s="14">
        <v>6912</v>
      </c>
      <c r="F17" s="14">
        <v>16</v>
      </c>
      <c r="G17" s="14" t="s">
        <v>18</v>
      </c>
      <c r="H17" s="26">
        <v>44532</v>
      </c>
      <c r="I17" s="26">
        <v>44476</v>
      </c>
      <c r="J17" s="26">
        <v>44576</v>
      </c>
    </row>
    <row r="18" spans="1:10" ht="15" customHeight="1" x14ac:dyDescent="0.25">
      <c r="A18" s="14">
        <f t="shared" si="1"/>
        <v>10</v>
      </c>
      <c r="B18" s="15" t="s">
        <v>106</v>
      </c>
      <c r="C18" s="19" t="s">
        <v>107</v>
      </c>
      <c r="D18" s="14" t="s">
        <v>8</v>
      </c>
      <c r="E18" s="14">
        <v>6919</v>
      </c>
      <c r="F18" s="14">
        <v>16</v>
      </c>
      <c r="G18" s="14" t="s">
        <v>18</v>
      </c>
      <c r="H18" s="26">
        <v>44541</v>
      </c>
      <c r="I18" s="26">
        <v>44388</v>
      </c>
      <c r="J18" s="14"/>
    </row>
    <row r="19" spans="1:10" ht="15" customHeight="1" x14ac:dyDescent="0.25">
      <c r="A19" s="14" t="str">
        <f>IF(B19&lt;&gt; "",ROW(B19) - 8,"")</f>
        <v/>
      </c>
      <c r="B19" s="15"/>
      <c r="C19" s="14"/>
      <c r="D19" s="14"/>
      <c r="E19" s="14"/>
      <c r="F19" s="14"/>
      <c r="G19" s="14"/>
      <c r="H19" s="26"/>
      <c r="I19" s="14"/>
      <c r="J19" s="26"/>
    </row>
    <row r="20" spans="1:10" ht="15" customHeight="1" x14ac:dyDescent="0.25">
      <c r="A20" s="14" t="str">
        <f t="shared" si="1"/>
        <v/>
      </c>
      <c r="B20" s="15"/>
      <c r="C20" s="14"/>
      <c r="D20" s="14"/>
      <c r="E20" s="14"/>
      <c r="F20" s="14"/>
      <c r="G20" s="14"/>
      <c r="H20" s="14"/>
      <c r="I20" s="14"/>
      <c r="J20" s="14"/>
    </row>
    <row r="21" spans="1:10" ht="15" customHeight="1" x14ac:dyDescent="0.25">
      <c r="A21" s="14" t="str">
        <f t="shared" si="1"/>
        <v/>
      </c>
      <c r="B21" s="15"/>
      <c r="C21" s="14"/>
      <c r="D21" s="14"/>
      <c r="E21" s="14"/>
      <c r="F21" s="14"/>
      <c r="G21" s="14"/>
      <c r="H21" s="14"/>
      <c r="I21" s="14"/>
      <c r="J21" s="14"/>
    </row>
    <row r="22" spans="1:10" ht="15" customHeight="1" x14ac:dyDescent="0.25">
      <c r="A22" s="3" t="str">
        <f t="shared" si="1"/>
        <v/>
      </c>
      <c r="B22" s="15"/>
      <c r="C22" s="14"/>
      <c r="D22" s="14"/>
      <c r="E22" s="14"/>
      <c r="F22" s="14"/>
      <c r="G22" s="14"/>
      <c r="H22" s="14"/>
      <c r="I22" s="14"/>
      <c r="J22" s="14"/>
    </row>
    <row r="23" spans="1:10" ht="15" customHeight="1" x14ac:dyDescent="0.25">
      <c r="A23" s="3" t="str">
        <f t="shared" si="1"/>
        <v/>
      </c>
      <c r="B23" s="15"/>
      <c r="C23" s="14"/>
      <c r="D23" s="14"/>
      <c r="E23" s="14"/>
      <c r="F23" s="14"/>
      <c r="G23" s="14"/>
      <c r="H23" s="14"/>
      <c r="I23" s="14"/>
      <c r="J23" s="14"/>
    </row>
    <row r="24" spans="1:10" ht="15" customHeight="1" x14ac:dyDescent="0.25">
      <c r="A24" s="3" t="str">
        <f t="shared" si="1"/>
        <v/>
      </c>
      <c r="B24" s="15"/>
      <c r="C24" s="14"/>
      <c r="D24" s="14"/>
      <c r="E24" s="14"/>
      <c r="F24" s="14"/>
      <c r="G24" s="14"/>
      <c r="H24" s="14"/>
      <c r="I24" s="14"/>
      <c r="J24" s="14"/>
    </row>
    <row r="25" spans="1:10" ht="15" customHeight="1" x14ac:dyDescent="0.25">
      <c r="A25" s="3" t="str">
        <f t="shared" si="1"/>
        <v/>
      </c>
      <c r="B25" s="15"/>
      <c r="C25" s="14" t="s">
        <v>108</v>
      </c>
      <c r="D25" s="14"/>
      <c r="E25" s="14"/>
      <c r="F25" s="14"/>
      <c r="G25" s="14"/>
      <c r="H25" s="14"/>
      <c r="I25" s="14"/>
      <c r="J25" s="14"/>
    </row>
    <row r="26" spans="1:10" ht="15" customHeight="1" x14ac:dyDescent="0.25">
      <c r="A26" s="3" t="str">
        <f t="shared" si="1"/>
        <v/>
      </c>
      <c r="B26" s="15"/>
      <c r="C26" s="14"/>
      <c r="D26" s="14"/>
      <c r="E26" s="14"/>
      <c r="F26" s="14"/>
      <c r="G26" s="14"/>
      <c r="H26" s="14"/>
      <c r="I26" s="14"/>
      <c r="J26" s="14"/>
    </row>
    <row r="27" spans="1:10" ht="15" customHeight="1" x14ac:dyDescent="0.25">
      <c r="A27" s="3" t="str">
        <f t="shared" si="1"/>
        <v/>
      </c>
      <c r="B27" s="15"/>
      <c r="C27" s="37"/>
      <c r="D27" s="14"/>
      <c r="E27" s="14"/>
      <c r="F27" s="14"/>
      <c r="G27" s="14"/>
      <c r="H27" s="14"/>
      <c r="I27" s="14"/>
      <c r="J27" s="14"/>
    </row>
    <row r="28" spans="1:10" ht="15" customHeight="1" x14ac:dyDescent="0.25">
      <c r="A28" s="3" t="str">
        <f t="shared" si="1"/>
        <v/>
      </c>
      <c r="B28" s="15"/>
      <c r="C28" s="14"/>
      <c r="D28" s="14"/>
      <c r="E28" s="14"/>
      <c r="F28" s="14"/>
      <c r="G28" s="14"/>
      <c r="H28" s="14"/>
      <c r="I28" s="14"/>
      <c r="J28" s="14"/>
    </row>
    <row r="29" spans="1:10" ht="15" customHeight="1" x14ac:dyDescent="0.25">
      <c r="A29" s="3" t="str">
        <f t="shared" si="1"/>
        <v/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0" ht="15" customHeight="1" x14ac:dyDescent="0.25">
      <c r="A30" s="3" t="str">
        <f t="shared" si="1"/>
        <v/>
      </c>
    </row>
    <row r="31" spans="1:10" ht="15" customHeight="1" x14ac:dyDescent="0.25">
      <c r="A31" s="3" t="str">
        <f t="shared" si="1"/>
        <v/>
      </c>
    </row>
    <row r="32" spans="1:10" ht="15" customHeight="1" x14ac:dyDescent="0.25">
      <c r="A32" s="3" t="str">
        <f t="shared" si="1"/>
        <v/>
      </c>
    </row>
    <row r="33" spans="1:1" ht="15" customHeight="1" x14ac:dyDescent="0.25">
      <c r="A33" s="3" t="str">
        <f t="shared" si="1"/>
        <v/>
      </c>
    </row>
    <row r="34" spans="1:1" ht="15" customHeight="1" x14ac:dyDescent="0.25">
      <c r="A34" s="3" t="str">
        <f t="shared" si="1"/>
        <v/>
      </c>
    </row>
    <row r="35" spans="1:1" ht="15" customHeight="1" x14ac:dyDescent="0.25">
      <c r="A35" s="3" t="str">
        <f t="shared" si="1"/>
        <v/>
      </c>
    </row>
    <row r="36" spans="1:1" ht="15" customHeight="1" x14ac:dyDescent="0.25">
      <c r="A36" s="3" t="str">
        <f t="shared" si="1"/>
        <v/>
      </c>
    </row>
    <row r="37" spans="1:1" ht="15" customHeight="1" x14ac:dyDescent="0.25">
      <c r="A37" s="3" t="str">
        <f t="shared" si="1"/>
        <v/>
      </c>
    </row>
    <row r="38" spans="1:1" ht="15" customHeight="1" x14ac:dyDescent="0.25">
      <c r="A38" s="3" t="str">
        <f t="shared" si="1"/>
        <v/>
      </c>
    </row>
    <row r="39" spans="1:1" ht="15" customHeight="1" x14ac:dyDescent="0.25">
      <c r="A39" s="3" t="str">
        <f t="shared" si="1"/>
        <v/>
      </c>
    </row>
    <row r="40" spans="1:1" ht="15" customHeight="1" x14ac:dyDescent="0.25">
      <c r="A40" s="3" t="str">
        <f t="shared" si="1"/>
        <v/>
      </c>
    </row>
    <row r="41" spans="1:1" ht="15" customHeight="1" x14ac:dyDescent="0.25">
      <c r="A41" s="3" t="str">
        <f t="shared" si="1"/>
        <v/>
      </c>
    </row>
    <row r="42" spans="1:1" x14ac:dyDescent="0.25">
      <c r="A42" s="3" t="str">
        <f t="shared" si="1"/>
        <v/>
      </c>
    </row>
    <row r="43" spans="1:1" x14ac:dyDescent="0.25">
      <c r="A43" s="3" t="str">
        <f t="shared" si="1"/>
        <v/>
      </c>
    </row>
    <row r="44" spans="1:1" x14ac:dyDescent="0.25">
      <c r="A44" s="3" t="str">
        <f t="shared" si="1"/>
        <v/>
      </c>
    </row>
    <row r="45" spans="1:1" x14ac:dyDescent="0.25">
      <c r="A45" s="3" t="str">
        <f t="shared" si="1"/>
        <v/>
      </c>
    </row>
    <row r="46" spans="1:1" x14ac:dyDescent="0.25">
      <c r="A46" s="3" t="str">
        <f t="shared" si="1"/>
        <v/>
      </c>
    </row>
    <row r="47" spans="1:1" x14ac:dyDescent="0.25">
      <c r="A47" s="3" t="str">
        <f t="shared" si="1"/>
        <v/>
      </c>
    </row>
    <row r="48" spans="1:1" x14ac:dyDescent="0.25">
      <c r="A48" s="3" t="str">
        <f t="shared" si="1"/>
        <v/>
      </c>
    </row>
    <row r="49" spans="1:1" x14ac:dyDescent="0.25">
      <c r="A49" s="3" t="str">
        <f t="shared" si="1"/>
        <v/>
      </c>
    </row>
    <row r="50" spans="1:1" x14ac:dyDescent="0.25">
      <c r="A50" s="3" t="str">
        <f t="shared" si="1"/>
        <v/>
      </c>
    </row>
    <row r="51" spans="1:1" x14ac:dyDescent="0.25">
      <c r="A51" s="3" t="str">
        <f t="shared" si="1"/>
        <v/>
      </c>
    </row>
    <row r="52" spans="1:1" x14ac:dyDescent="0.25">
      <c r="A52" s="3" t="str">
        <f t="shared" si="1"/>
        <v/>
      </c>
    </row>
    <row r="53" spans="1:1" x14ac:dyDescent="0.25">
      <c r="A53" s="3" t="str">
        <f t="shared" si="1"/>
        <v/>
      </c>
    </row>
    <row r="54" spans="1:1" x14ac:dyDescent="0.25">
      <c r="A54" s="3" t="str">
        <f t="shared" si="1"/>
        <v/>
      </c>
    </row>
    <row r="55" spans="1:1" x14ac:dyDescent="0.25">
      <c r="A55" s="3" t="str">
        <f t="shared" si="1"/>
        <v/>
      </c>
    </row>
    <row r="56" spans="1:1" x14ac:dyDescent="0.25">
      <c r="A56" s="3" t="str">
        <f t="shared" si="1"/>
        <v/>
      </c>
    </row>
    <row r="57" spans="1:1" x14ac:dyDescent="0.25">
      <c r="A57" s="3" t="str">
        <f t="shared" si="1"/>
        <v/>
      </c>
    </row>
    <row r="58" spans="1:1" x14ac:dyDescent="0.25">
      <c r="A58" s="3" t="str">
        <f t="shared" si="1"/>
        <v/>
      </c>
    </row>
    <row r="59" spans="1:1" x14ac:dyDescent="0.25">
      <c r="A59" s="3" t="str">
        <f t="shared" si="1"/>
        <v/>
      </c>
    </row>
    <row r="60" spans="1:1" x14ac:dyDescent="0.25">
      <c r="A60" s="3" t="str">
        <f t="shared" si="1"/>
        <v/>
      </c>
    </row>
    <row r="61" spans="1:1" x14ac:dyDescent="0.25">
      <c r="A61" s="3" t="str">
        <f t="shared" si="1"/>
        <v/>
      </c>
    </row>
    <row r="62" spans="1:1" x14ac:dyDescent="0.25">
      <c r="A62" s="3" t="str">
        <f t="shared" si="1"/>
        <v/>
      </c>
    </row>
    <row r="63" spans="1:1" x14ac:dyDescent="0.25">
      <c r="A63" s="3" t="str">
        <f t="shared" si="1"/>
        <v/>
      </c>
    </row>
    <row r="64" spans="1:1" x14ac:dyDescent="0.25">
      <c r="A64" s="3" t="str">
        <f t="shared" si="1"/>
        <v/>
      </c>
    </row>
    <row r="65" spans="1:1" x14ac:dyDescent="0.25">
      <c r="A65" s="3" t="str">
        <f t="shared" si="1"/>
        <v/>
      </c>
    </row>
    <row r="66" spans="1:1" x14ac:dyDescent="0.25">
      <c r="A66" s="3" t="str">
        <f t="shared" si="1"/>
        <v/>
      </c>
    </row>
    <row r="67" spans="1:1" x14ac:dyDescent="0.25">
      <c r="A67" s="3" t="str">
        <f t="shared" si="1"/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ref="A73:A136" si="2">IF(B73&lt;&gt; "",ROW(B73) - 8,"")</f>
        <v/>
      </c>
    </row>
    <row r="74" spans="1:1" x14ac:dyDescent="0.25">
      <c r="A74" s="3" t="str">
        <f t="shared" si="2"/>
        <v/>
      </c>
    </row>
    <row r="75" spans="1:1" x14ac:dyDescent="0.25">
      <c r="A75" s="3" t="str">
        <f t="shared" si="2"/>
        <v/>
      </c>
    </row>
    <row r="76" spans="1:1" x14ac:dyDescent="0.25">
      <c r="A76" s="3" t="str">
        <f t="shared" si="2"/>
        <v/>
      </c>
    </row>
    <row r="77" spans="1:1" x14ac:dyDescent="0.25">
      <c r="A77" s="3" t="str">
        <f t="shared" si="2"/>
        <v/>
      </c>
    </row>
    <row r="78" spans="1:1" x14ac:dyDescent="0.25">
      <c r="A78" s="3" t="str">
        <f t="shared" si="2"/>
        <v/>
      </c>
    </row>
    <row r="79" spans="1:1" x14ac:dyDescent="0.25">
      <c r="A79" s="3" t="str">
        <f t="shared" si="2"/>
        <v/>
      </c>
    </row>
    <row r="80" spans="1:1" x14ac:dyDescent="0.25">
      <c r="A80" s="3" t="str">
        <f t="shared" si="2"/>
        <v/>
      </c>
    </row>
    <row r="81" spans="1:1" x14ac:dyDescent="0.25">
      <c r="A81" s="3" t="str">
        <f t="shared" si="2"/>
        <v/>
      </c>
    </row>
    <row r="82" spans="1:1" x14ac:dyDescent="0.25">
      <c r="A82" s="3" t="str">
        <f t="shared" si="2"/>
        <v/>
      </c>
    </row>
    <row r="83" spans="1:1" x14ac:dyDescent="0.25">
      <c r="A83" s="3" t="str">
        <f t="shared" si="2"/>
        <v/>
      </c>
    </row>
    <row r="84" spans="1:1" x14ac:dyDescent="0.25">
      <c r="A84" s="3" t="str">
        <f t="shared" si="2"/>
        <v/>
      </c>
    </row>
    <row r="85" spans="1:1" x14ac:dyDescent="0.25">
      <c r="A85" s="3" t="str">
        <f t="shared" si="2"/>
        <v/>
      </c>
    </row>
    <row r="86" spans="1:1" x14ac:dyDescent="0.25">
      <c r="A86" s="3" t="str">
        <f t="shared" si="2"/>
        <v/>
      </c>
    </row>
    <row r="87" spans="1:1" x14ac:dyDescent="0.25">
      <c r="A87" s="3" t="str">
        <f t="shared" si="2"/>
        <v/>
      </c>
    </row>
    <row r="88" spans="1:1" x14ac:dyDescent="0.25">
      <c r="A88" s="3" t="str">
        <f t="shared" si="2"/>
        <v/>
      </c>
    </row>
    <row r="89" spans="1:1" x14ac:dyDescent="0.25">
      <c r="A89" s="3" t="str">
        <f t="shared" si="2"/>
        <v/>
      </c>
    </row>
    <row r="90" spans="1:1" x14ac:dyDescent="0.25">
      <c r="A90" s="3" t="str">
        <f t="shared" si="2"/>
        <v/>
      </c>
    </row>
    <row r="91" spans="1:1" x14ac:dyDescent="0.25">
      <c r="A91" s="3" t="str">
        <f t="shared" si="2"/>
        <v/>
      </c>
    </row>
    <row r="92" spans="1:1" x14ac:dyDescent="0.25">
      <c r="A92" s="3" t="str">
        <f t="shared" si="2"/>
        <v/>
      </c>
    </row>
    <row r="93" spans="1:1" x14ac:dyDescent="0.25">
      <c r="A93" s="3" t="str">
        <f t="shared" si="2"/>
        <v/>
      </c>
    </row>
    <row r="94" spans="1:1" x14ac:dyDescent="0.25">
      <c r="A94" s="3" t="str">
        <f t="shared" si="2"/>
        <v/>
      </c>
    </row>
    <row r="95" spans="1:1" x14ac:dyDescent="0.25">
      <c r="A95" s="3" t="str">
        <f t="shared" si="2"/>
        <v/>
      </c>
    </row>
    <row r="96" spans="1:1" x14ac:dyDescent="0.25">
      <c r="A96" s="3" t="str">
        <f t="shared" si="2"/>
        <v/>
      </c>
    </row>
    <row r="97" spans="1:1" x14ac:dyDescent="0.25">
      <c r="A97" s="3" t="str">
        <f t="shared" si="2"/>
        <v/>
      </c>
    </row>
    <row r="98" spans="1:1" x14ac:dyDescent="0.25">
      <c r="A98" s="3" t="str">
        <f t="shared" si="2"/>
        <v/>
      </c>
    </row>
    <row r="99" spans="1:1" x14ac:dyDescent="0.25">
      <c r="A99" s="3" t="str">
        <f t="shared" si="2"/>
        <v/>
      </c>
    </row>
    <row r="100" spans="1:1" x14ac:dyDescent="0.25">
      <c r="A100" s="3" t="str">
        <f t="shared" si="2"/>
        <v/>
      </c>
    </row>
    <row r="101" spans="1:1" x14ac:dyDescent="0.25">
      <c r="A101" s="3" t="str">
        <f t="shared" si="2"/>
        <v/>
      </c>
    </row>
    <row r="102" spans="1:1" x14ac:dyDescent="0.25">
      <c r="A102" s="3" t="str">
        <f t="shared" si="2"/>
        <v/>
      </c>
    </row>
    <row r="103" spans="1:1" x14ac:dyDescent="0.25">
      <c r="A103" s="3" t="str">
        <f t="shared" si="2"/>
        <v/>
      </c>
    </row>
    <row r="104" spans="1:1" x14ac:dyDescent="0.25">
      <c r="A104" s="3" t="str">
        <f t="shared" si="2"/>
        <v/>
      </c>
    </row>
    <row r="105" spans="1:1" x14ac:dyDescent="0.25">
      <c r="A105" s="3" t="str">
        <f t="shared" si="2"/>
        <v/>
      </c>
    </row>
    <row r="106" spans="1:1" x14ac:dyDescent="0.25">
      <c r="A106" s="3" t="str">
        <f t="shared" si="2"/>
        <v/>
      </c>
    </row>
    <row r="107" spans="1:1" x14ac:dyDescent="0.25">
      <c r="A107" s="3" t="str">
        <f t="shared" si="2"/>
        <v/>
      </c>
    </row>
    <row r="108" spans="1:1" x14ac:dyDescent="0.25">
      <c r="A108" s="3" t="str">
        <f t="shared" si="2"/>
        <v/>
      </c>
    </row>
    <row r="109" spans="1:1" x14ac:dyDescent="0.25">
      <c r="A109" s="3" t="str">
        <f t="shared" si="2"/>
        <v/>
      </c>
    </row>
    <row r="110" spans="1:1" x14ac:dyDescent="0.25">
      <c r="A110" s="3" t="str">
        <f t="shared" si="2"/>
        <v/>
      </c>
    </row>
    <row r="111" spans="1:1" x14ac:dyDescent="0.25">
      <c r="A111" s="3" t="str">
        <f t="shared" si="2"/>
        <v/>
      </c>
    </row>
    <row r="112" spans="1:1" x14ac:dyDescent="0.25">
      <c r="A112" s="3" t="str">
        <f t="shared" si="2"/>
        <v/>
      </c>
    </row>
    <row r="113" spans="1:1" x14ac:dyDescent="0.25">
      <c r="A113" s="3" t="str">
        <f t="shared" si="2"/>
        <v/>
      </c>
    </row>
    <row r="114" spans="1:1" x14ac:dyDescent="0.25">
      <c r="A114" s="3" t="str">
        <f t="shared" si="2"/>
        <v/>
      </c>
    </row>
    <row r="115" spans="1:1" x14ac:dyDescent="0.25">
      <c r="A115" s="3" t="str">
        <f t="shared" si="2"/>
        <v/>
      </c>
    </row>
    <row r="116" spans="1:1" x14ac:dyDescent="0.25">
      <c r="A116" s="3" t="str">
        <f t="shared" si="2"/>
        <v/>
      </c>
    </row>
    <row r="117" spans="1:1" x14ac:dyDescent="0.25">
      <c r="A117" s="3" t="str">
        <f t="shared" si="2"/>
        <v/>
      </c>
    </row>
    <row r="118" spans="1:1" x14ac:dyDescent="0.25">
      <c r="A118" s="3" t="str">
        <f t="shared" si="2"/>
        <v/>
      </c>
    </row>
    <row r="119" spans="1:1" x14ac:dyDescent="0.25">
      <c r="A119" s="3" t="str">
        <f t="shared" si="2"/>
        <v/>
      </c>
    </row>
    <row r="120" spans="1:1" x14ac:dyDescent="0.25">
      <c r="A120" s="3" t="str">
        <f t="shared" si="2"/>
        <v/>
      </c>
    </row>
    <row r="121" spans="1:1" x14ac:dyDescent="0.25">
      <c r="A121" s="3" t="str">
        <f t="shared" si="2"/>
        <v/>
      </c>
    </row>
    <row r="122" spans="1:1" x14ac:dyDescent="0.25">
      <c r="A122" s="3" t="str">
        <f t="shared" si="2"/>
        <v/>
      </c>
    </row>
    <row r="123" spans="1:1" x14ac:dyDescent="0.25">
      <c r="A123" s="3" t="str">
        <f t="shared" si="2"/>
        <v/>
      </c>
    </row>
    <row r="124" spans="1:1" x14ac:dyDescent="0.25">
      <c r="A124" s="3" t="str">
        <f t="shared" si="2"/>
        <v/>
      </c>
    </row>
    <row r="125" spans="1:1" x14ac:dyDescent="0.25">
      <c r="A125" s="3" t="str">
        <f t="shared" si="2"/>
        <v/>
      </c>
    </row>
    <row r="126" spans="1:1" x14ac:dyDescent="0.25">
      <c r="A126" s="3" t="str">
        <f t="shared" si="2"/>
        <v/>
      </c>
    </row>
    <row r="127" spans="1:1" x14ac:dyDescent="0.25">
      <c r="A127" s="3" t="str">
        <f t="shared" si="2"/>
        <v/>
      </c>
    </row>
    <row r="128" spans="1:1" x14ac:dyDescent="0.25">
      <c r="A128" s="3" t="str">
        <f t="shared" si="2"/>
        <v/>
      </c>
    </row>
    <row r="129" spans="1:1" x14ac:dyDescent="0.25">
      <c r="A129" s="3" t="str">
        <f t="shared" si="2"/>
        <v/>
      </c>
    </row>
    <row r="130" spans="1:1" x14ac:dyDescent="0.25">
      <c r="A130" s="3" t="str">
        <f t="shared" si="2"/>
        <v/>
      </c>
    </row>
    <row r="131" spans="1:1" x14ac:dyDescent="0.25">
      <c r="A131" s="3" t="str">
        <f t="shared" si="2"/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ref="A137:A200" si="3">IF(B137&lt;&gt; "",ROW(B137) - 8,"")</f>
        <v/>
      </c>
    </row>
    <row r="138" spans="1:1" x14ac:dyDescent="0.25">
      <c r="A138" s="3" t="str">
        <f t="shared" si="3"/>
        <v/>
      </c>
    </row>
    <row r="139" spans="1:1" x14ac:dyDescent="0.25">
      <c r="A139" s="3" t="str">
        <f t="shared" si="3"/>
        <v/>
      </c>
    </row>
    <row r="140" spans="1:1" x14ac:dyDescent="0.25">
      <c r="A140" s="3" t="str">
        <f t="shared" si="3"/>
        <v/>
      </c>
    </row>
    <row r="141" spans="1:1" x14ac:dyDescent="0.25">
      <c r="A141" s="3" t="str">
        <f t="shared" si="3"/>
        <v/>
      </c>
    </row>
    <row r="142" spans="1:1" x14ac:dyDescent="0.25">
      <c r="A142" s="3" t="str">
        <f t="shared" si="3"/>
        <v/>
      </c>
    </row>
    <row r="143" spans="1:1" x14ac:dyDescent="0.25">
      <c r="A143" s="3" t="str">
        <f t="shared" si="3"/>
        <v/>
      </c>
    </row>
    <row r="144" spans="1:1" x14ac:dyDescent="0.25">
      <c r="A144" s="3" t="str">
        <f t="shared" si="3"/>
        <v/>
      </c>
    </row>
    <row r="145" spans="1:1" x14ac:dyDescent="0.25">
      <c r="A145" s="3" t="str">
        <f t="shared" si="3"/>
        <v/>
      </c>
    </row>
    <row r="146" spans="1:1" x14ac:dyDescent="0.25">
      <c r="A146" s="3" t="str">
        <f t="shared" si="3"/>
        <v/>
      </c>
    </row>
    <row r="147" spans="1:1" x14ac:dyDescent="0.25">
      <c r="A147" s="3" t="str">
        <f t="shared" si="3"/>
        <v/>
      </c>
    </row>
    <row r="148" spans="1:1" x14ac:dyDescent="0.25">
      <c r="A148" s="3" t="str">
        <f t="shared" si="3"/>
        <v/>
      </c>
    </row>
    <row r="149" spans="1:1" x14ac:dyDescent="0.25">
      <c r="A149" s="3" t="str">
        <f t="shared" si="3"/>
        <v/>
      </c>
    </row>
    <row r="150" spans="1:1" x14ac:dyDescent="0.25">
      <c r="A150" s="3" t="str">
        <f t="shared" si="3"/>
        <v/>
      </c>
    </row>
    <row r="151" spans="1:1" x14ac:dyDescent="0.25">
      <c r="A151" s="3" t="str">
        <f t="shared" si="3"/>
        <v/>
      </c>
    </row>
    <row r="152" spans="1:1" x14ac:dyDescent="0.25">
      <c r="A152" s="3" t="str">
        <f t="shared" si="3"/>
        <v/>
      </c>
    </row>
    <row r="153" spans="1:1" x14ac:dyDescent="0.25">
      <c r="A153" s="3" t="str">
        <f t="shared" si="3"/>
        <v/>
      </c>
    </row>
    <row r="154" spans="1:1" x14ac:dyDescent="0.25">
      <c r="A154" s="3" t="str">
        <f t="shared" si="3"/>
        <v/>
      </c>
    </row>
    <row r="155" spans="1:1" x14ac:dyDescent="0.25">
      <c r="A155" s="3" t="str">
        <f t="shared" si="3"/>
        <v/>
      </c>
    </row>
    <row r="156" spans="1:1" x14ac:dyDescent="0.25">
      <c r="A156" s="3" t="str">
        <f t="shared" si="3"/>
        <v/>
      </c>
    </row>
    <row r="157" spans="1:1" x14ac:dyDescent="0.25">
      <c r="A157" s="3" t="str">
        <f t="shared" si="3"/>
        <v/>
      </c>
    </row>
    <row r="158" spans="1:1" x14ac:dyDescent="0.25">
      <c r="A158" s="3" t="str">
        <f t="shared" si="3"/>
        <v/>
      </c>
    </row>
    <row r="159" spans="1:1" x14ac:dyDescent="0.25">
      <c r="A159" s="3" t="str">
        <f t="shared" si="3"/>
        <v/>
      </c>
    </row>
    <row r="160" spans="1:1" x14ac:dyDescent="0.25">
      <c r="A160" s="3" t="str">
        <f t="shared" si="3"/>
        <v/>
      </c>
    </row>
    <row r="161" spans="1:1" x14ac:dyDescent="0.25">
      <c r="A161" s="3" t="str">
        <f t="shared" si="3"/>
        <v/>
      </c>
    </row>
    <row r="162" spans="1:1" x14ac:dyDescent="0.25">
      <c r="A162" s="3" t="str">
        <f t="shared" si="3"/>
        <v/>
      </c>
    </row>
    <row r="163" spans="1:1" x14ac:dyDescent="0.25">
      <c r="A163" s="3" t="str">
        <f t="shared" si="3"/>
        <v/>
      </c>
    </row>
    <row r="164" spans="1:1" x14ac:dyDescent="0.25">
      <c r="A164" s="3" t="str">
        <f t="shared" si="3"/>
        <v/>
      </c>
    </row>
    <row r="165" spans="1:1" x14ac:dyDescent="0.25">
      <c r="A165" s="3" t="str">
        <f t="shared" si="3"/>
        <v/>
      </c>
    </row>
    <row r="166" spans="1:1" x14ac:dyDescent="0.25">
      <c r="A166" s="3" t="str">
        <f t="shared" si="3"/>
        <v/>
      </c>
    </row>
    <row r="167" spans="1:1" x14ac:dyDescent="0.25">
      <c r="A167" s="3" t="str">
        <f t="shared" si="3"/>
        <v/>
      </c>
    </row>
    <row r="168" spans="1:1" x14ac:dyDescent="0.25">
      <c r="A168" s="3" t="str">
        <f t="shared" si="3"/>
        <v/>
      </c>
    </row>
    <row r="169" spans="1:1" x14ac:dyDescent="0.25">
      <c r="A169" s="3" t="str">
        <f t="shared" si="3"/>
        <v/>
      </c>
    </row>
    <row r="170" spans="1:1" x14ac:dyDescent="0.25">
      <c r="A170" s="3" t="str">
        <f t="shared" si="3"/>
        <v/>
      </c>
    </row>
    <row r="171" spans="1:1" x14ac:dyDescent="0.25">
      <c r="A171" s="3" t="str">
        <f t="shared" si="3"/>
        <v/>
      </c>
    </row>
    <row r="172" spans="1:1" x14ac:dyDescent="0.25">
      <c r="A172" s="3" t="str">
        <f t="shared" si="3"/>
        <v/>
      </c>
    </row>
    <row r="173" spans="1:1" x14ac:dyDescent="0.25">
      <c r="A173" s="3" t="str">
        <f t="shared" si="3"/>
        <v/>
      </c>
    </row>
    <row r="174" spans="1:1" x14ac:dyDescent="0.25">
      <c r="A174" s="3" t="str">
        <f t="shared" si="3"/>
        <v/>
      </c>
    </row>
    <row r="175" spans="1:1" x14ac:dyDescent="0.25">
      <c r="A175" s="3" t="str">
        <f t="shared" si="3"/>
        <v/>
      </c>
    </row>
    <row r="176" spans="1:1" x14ac:dyDescent="0.25">
      <c r="A176" s="3" t="str">
        <f t="shared" si="3"/>
        <v/>
      </c>
    </row>
    <row r="177" spans="1:1" x14ac:dyDescent="0.25">
      <c r="A177" s="3" t="str">
        <f t="shared" si="3"/>
        <v/>
      </c>
    </row>
    <row r="178" spans="1:1" x14ac:dyDescent="0.25">
      <c r="A178" s="3" t="str">
        <f t="shared" si="3"/>
        <v/>
      </c>
    </row>
    <row r="179" spans="1:1" x14ac:dyDescent="0.25">
      <c r="A179" s="3" t="str">
        <f t="shared" si="3"/>
        <v/>
      </c>
    </row>
    <row r="180" spans="1:1" x14ac:dyDescent="0.25">
      <c r="A180" s="3" t="str">
        <f t="shared" si="3"/>
        <v/>
      </c>
    </row>
    <row r="181" spans="1:1" x14ac:dyDescent="0.25">
      <c r="A181" s="3" t="str">
        <f t="shared" si="3"/>
        <v/>
      </c>
    </row>
    <row r="182" spans="1:1" x14ac:dyDescent="0.25">
      <c r="A182" s="3" t="str">
        <f t="shared" si="3"/>
        <v/>
      </c>
    </row>
    <row r="183" spans="1:1" x14ac:dyDescent="0.25">
      <c r="A183" s="3" t="str">
        <f t="shared" si="3"/>
        <v/>
      </c>
    </row>
    <row r="184" spans="1:1" x14ac:dyDescent="0.25">
      <c r="A184" s="3" t="str">
        <f t="shared" si="3"/>
        <v/>
      </c>
    </row>
    <row r="185" spans="1:1" x14ac:dyDescent="0.25">
      <c r="A185" s="3" t="str">
        <f t="shared" si="3"/>
        <v/>
      </c>
    </row>
    <row r="186" spans="1:1" x14ac:dyDescent="0.25">
      <c r="A186" s="3" t="str">
        <f t="shared" si="3"/>
        <v/>
      </c>
    </row>
    <row r="187" spans="1:1" x14ac:dyDescent="0.25">
      <c r="A187" s="3" t="str">
        <f t="shared" si="3"/>
        <v/>
      </c>
    </row>
    <row r="188" spans="1:1" x14ac:dyDescent="0.25">
      <c r="A188" s="3" t="str">
        <f t="shared" si="3"/>
        <v/>
      </c>
    </row>
    <row r="189" spans="1:1" x14ac:dyDescent="0.25">
      <c r="A189" s="3" t="str">
        <f t="shared" si="3"/>
        <v/>
      </c>
    </row>
    <row r="190" spans="1:1" x14ac:dyDescent="0.25">
      <c r="A190" s="3" t="str">
        <f t="shared" si="3"/>
        <v/>
      </c>
    </row>
    <row r="191" spans="1:1" x14ac:dyDescent="0.25">
      <c r="A191" s="3" t="str">
        <f t="shared" si="3"/>
        <v/>
      </c>
    </row>
    <row r="192" spans="1:1" x14ac:dyDescent="0.25">
      <c r="A192" s="3" t="str">
        <f t="shared" si="3"/>
        <v/>
      </c>
    </row>
    <row r="193" spans="1:1" x14ac:dyDescent="0.25">
      <c r="A193" s="3" t="str">
        <f t="shared" si="3"/>
        <v/>
      </c>
    </row>
    <row r="194" spans="1:1" x14ac:dyDescent="0.25">
      <c r="A194" s="3" t="str">
        <f t="shared" si="3"/>
        <v/>
      </c>
    </row>
    <row r="195" spans="1:1" x14ac:dyDescent="0.25">
      <c r="A195" s="3" t="str">
        <f t="shared" si="3"/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ref="A201:A264" si="4">IF(B201&lt;&gt; "",ROW(B201) - 8,"")</f>
        <v/>
      </c>
    </row>
    <row r="202" spans="1:1" x14ac:dyDescent="0.25">
      <c r="A202" s="3" t="str">
        <f t="shared" si="4"/>
        <v/>
      </c>
    </row>
    <row r="203" spans="1:1" x14ac:dyDescent="0.25">
      <c r="A203" s="3" t="str">
        <f t="shared" si="4"/>
        <v/>
      </c>
    </row>
    <row r="204" spans="1:1" x14ac:dyDescent="0.25">
      <c r="A204" s="3" t="str">
        <f t="shared" si="4"/>
        <v/>
      </c>
    </row>
    <row r="205" spans="1:1" x14ac:dyDescent="0.25">
      <c r="A205" s="3" t="str">
        <f t="shared" si="4"/>
        <v/>
      </c>
    </row>
    <row r="206" spans="1:1" x14ac:dyDescent="0.25">
      <c r="A206" s="3" t="str">
        <f t="shared" si="4"/>
        <v/>
      </c>
    </row>
    <row r="207" spans="1:1" x14ac:dyDescent="0.25">
      <c r="A207" s="3" t="str">
        <f t="shared" si="4"/>
        <v/>
      </c>
    </row>
    <row r="208" spans="1:1" x14ac:dyDescent="0.25">
      <c r="A208" s="3" t="str">
        <f t="shared" si="4"/>
        <v/>
      </c>
    </row>
    <row r="209" spans="1:1" x14ac:dyDescent="0.25">
      <c r="A209" s="3" t="str">
        <f t="shared" si="4"/>
        <v/>
      </c>
    </row>
    <row r="210" spans="1:1" x14ac:dyDescent="0.25">
      <c r="A210" s="3" t="str">
        <f t="shared" si="4"/>
        <v/>
      </c>
    </row>
    <row r="211" spans="1:1" x14ac:dyDescent="0.25">
      <c r="A211" s="3" t="str">
        <f t="shared" si="4"/>
        <v/>
      </c>
    </row>
    <row r="212" spans="1:1" x14ac:dyDescent="0.25">
      <c r="A212" s="3" t="str">
        <f t="shared" si="4"/>
        <v/>
      </c>
    </row>
    <row r="213" spans="1:1" x14ac:dyDescent="0.25">
      <c r="A213" s="3" t="str">
        <f t="shared" si="4"/>
        <v/>
      </c>
    </row>
    <row r="214" spans="1:1" x14ac:dyDescent="0.25">
      <c r="A214" s="3" t="str">
        <f t="shared" si="4"/>
        <v/>
      </c>
    </row>
    <row r="215" spans="1:1" x14ac:dyDescent="0.25">
      <c r="A215" s="3" t="str">
        <f t="shared" si="4"/>
        <v/>
      </c>
    </row>
    <row r="216" spans="1:1" x14ac:dyDescent="0.25">
      <c r="A216" s="3" t="str">
        <f t="shared" si="4"/>
        <v/>
      </c>
    </row>
    <row r="217" spans="1:1" x14ac:dyDescent="0.25">
      <c r="A217" s="3" t="str">
        <f t="shared" si="4"/>
        <v/>
      </c>
    </row>
    <row r="218" spans="1:1" x14ac:dyDescent="0.25">
      <c r="A218" s="3" t="str">
        <f t="shared" si="4"/>
        <v/>
      </c>
    </row>
    <row r="219" spans="1:1" x14ac:dyDescent="0.25">
      <c r="A219" s="3" t="str">
        <f t="shared" si="4"/>
        <v/>
      </c>
    </row>
    <row r="220" spans="1:1" x14ac:dyDescent="0.25">
      <c r="A220" s="3" t="str">
        <f t="shared" si="4"/>
        <v/>
      </c>
    </row>
    <row r="221" spans="1:1" x14ac:dyDescent="0.25">
      <c r="A221" s="3" t="str">
        <f t="shared" si="4"/>
        <v/>
      </c>
    </row>
    <row r="222" spans="1:1" x14ac:dyDescent="0.25">
      <c r="A222" s="3" t="str">
        <f t="shared" si="4"/>
        <v/>
      </c>
    </row>
    <row r="223" spans="1:1" x14ac:dyDescent="0.25">
      <c r="A223" s="3" t="str">
        <f t="shared" si="4"/>
        <v/>
      </c>
    </row>
    <row r="224" spans="1:1" x14ac:dyDescent="0.25">
      <c r="A224" s="3" t="str">
        <f t="shared" si="4"/>
        <v/>
      </c>
    </row>
    <row r="225" spans="1:1" x14ac:dyDescent="0.25">
      <c r="A225" s="3" t="str">
        <f t="shared" si="4"/>
        <v/>
      </c>
    </row>
    <row r="226" spans="1:1" x14ac:dyDescent="0.25">
      <c r="A226" s="3" t="str">
        <f t="shared" si="4"/>
        <v/>
      </c>
    </row>
    <row r="227" spans="1:1" x14ac:dyDescent="0.25">
      <c r="A227" s="3" t="str">
        <f t="shared" si="4"/>
        <v/>
      </c>
    </row>
    <row r="228" spans="1:1" x14ac:dyDescent="0.25">
      <c r="A228" s="3" t="str">
        <f t="shared" si="4"/>
        <v/>
      </c>
    </row>
    <row r="229" spans="1:1" x14ac:dyDescent="0.25">
      <c r="A229" s="3" t="str">
        <f t="shared" si="4"/>
        <v/>
      </c>
    </row>
    <row r="230" spans="1:1" x14ac:dyDescent="0.25">
      <c r="A230" s="3" t="str">
        <f t="shared" si="4"/>
        <v/>
      </c>
    </row>
    <row r="231" spans="1:1" x14ac:dyDescent="0.25">
      <c r="A231" s="3" t="str">
        <f t="shared" si="4"/>
        <v/>
      </c>
    </row>
    <row r="232" spans="1:1" x14ac:dyDescent="0.25">
      <c r="A232" s="3" t="str">
        <f t="shared" si="4"/>
        <v/>
      </c>
    </row>
    <row r="233" spans="1:1" x14ac:dyDescent="0.25">
      <c r="A233" s="3" t="str">
        <f t="shared" si="4"/>
        <v/>
      </c>
    </row>
    <row r="234" spans="1:1" x14ac:dyDescent="0.25">
      <c r="A234" s="3" t="str">
        <f t="shared" si="4"/>
        <v/>
      </c>
    </row>
    <row r="235" spans="1:1" x14ac:dyDescent="0.25">
      <c r="A235" s="3" t="str">
        <f t="shared" si="4"/>
        <v/>
      </c>
    </row>
    <row r="236" spans="1:1" x14ac:dyDescent="0.25">
      <c r="A236" s="3" t="str">
        <f t="shared" si="4"/>
        <v/>
      </c>
    </row>
    <row r="237" spans="1:1" x14ac:dyDescent="0.25">
      <c r="A237" s="3" t="str">
        <f t="shared" si="4"/>
        <v/>
      </c>
    </row>
    <row r="238" spans="1:1" x14ac:dyDescent="0.25">
      <c r="A238" s="3" t="str">
        <f t="shared" si="4"/>
        <v/>
      </c>
    </row>
    <row r="239" spans="1:1" x14ac:dyDescent="0.25">
      <c r="A239" s="3" t="str">
        <f t="shared" si="4"/>
        <v/>
      </c>
    </row>
    <row r="240" spans="1:1" x14ac:dyDescent="0.25">
      <c r="A240" s="3" t="str">
        <f t="shared" si="4"/>
        <v/>
      </c>
    </row>
    <row r="241" spans="1:1" x14ac:dyDescent="0.25">
      <c r="A241" s="3" t="str">
        <f t="shared" si="4"/>
        <v/>
      </c>
    </row>
    <row r="242" spans="1:1" x14ac:dyDescent="0.25">
      <c r="A242" s="3" t="str">
        <f t="shared" si="4"/>
        <v/>
      </c>
    </row>
    <row r="243" spans="1:1" x14ac:dyDescent="0.25">
      <c r="A243" s="3" t="str">
        <f t="shared" si="4"/>
        <v/>
      </c>
    </row>
    <row r="244" spans="1:1" x14ac:dyDescent="0.25">
      <c r="A244" s="3" t="str">
        <f t="shared" si="4"/>
        <v/>
      </c>
    </row>
    <row r="245" spans="1:1" x14ac:dyDescent="0.25">
      <c r="A245" s="3" t="str">
        <f t="shared" si="4"/>
        <v/>
      </c>
    </row>
    <row r="246" spans="1:1" x14ac:dyDescent="0.25">
      <c r="A246" s="3" t="str">
        <f t="shared" si="4"/>
        <v/>
      </c>
    </row>
    <row r="247" spans="1:1" x14ac:dyDescent="0.25">
      <c r="A247" s="3" t="str">
        <f t="shared" si="4"/>
        <v/>
      </c>
    </row>
    <row r="248" spans="1:1" x14ac:dyDescent="0.25">
      <c r="A248" s="3" t="str">
        <f t="shared" si="4"/>
        <v/>
      </c>
    </row>
    <row r="249" spans="1:1" x14ac:dyDescent="0.25">
      <c r="A249" s="3" t="str">
        <f t="shared" si="4"/>
        <v/>
      </c>
    </row>
    <row r="250" spans="1:1" x14ac:dyDescent="0.25">
      <c r="A250" s="3" t="str">
        <f t="shared" si="4"/>
        <v/>
      </c>
    </row>
    <row r="251" spans="1:1" x14ac:dyDescent="0.25">
      <c r="A251" s="3" t="str">
        <f t="shared" si="4"/>
        <v/>
      </c>
    </row>
    <row r="252" spans="1:1" x14ac:dyDescent="0.25">
      <c r="A252" s="3" t="str">
        <f t="shared" si="4"/>
        <v/>
      </c>
    </row>
    <row r="253" spans="1:1" x14ac:dyDescent="0.25">
      <c r="A253" s="3" t="str">
        <f t="shared" si="4"/>
        <v/>
      </c>
    </row>
    <row r="254" spans="1:1" x14ac:dyDescent="0.25">
      <c r="A254" s="3" t="str">
        <f t="shared" si="4"/>
        <v/>
      </c>
    </row>
    <row r="255" spans="1:1" x14ac:dyDescent="0.25">
      <c r="A255" s="3" t="str">
        <f t="shared" si="4"/>
        <v/>
      </c>
    </row>
    <row r="256" spans="1:1" x14ac:dyDescent="0.25">
      <c r="A256" s="3" t="str">
        <f t="shared" si="4"/>
        <v/>
      </c>
    </row>
    <row r="257" spans="1:1" x14ac:dyDescent="0.25">
      <c r="A257" s="3" t="str">
        <f t="shared" si="4"/>
        <v/>
      </c>
    </row>
    <row r="258" spans="1:1" x14ac:dyDescent="0.25">
      <c r="A258" s="3" t="str">
        <f t="shared" si="4"/>
        <v/>
      </c>
    </row>
    <row r="259" spans="1:1" x14ac:dyDescent="0.25">
      <c r="A259" s="3" t="str">
        <f t="shared" si="4"/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ref="A265:A328" si="5">IF(B265&lt;&gt; "",ROW(B265) - 8,"")</f>
        <v/>
      </c>
    </row>
    <row r="266" spans="1:1" x14ac:dyDescent="0.25">
      <c r="A266" s="3" t="str">
        <f t="shared" si="5"/>
        <v/>
      </c>
    </row>
    <row r="267" spans="1:1" x14ac:dyDescent="0.25">
      <c r="A267" s="3" t="str">
        <f t="shared" si="5"/>
        <v/>
      </c>
    </row>
    <row r="268" spans="1:1" x14ac:dyDescent="0.25">
      <c r="A268" s="3" t="str">
        <f t="shared" si="5"/>
        <v/>
      </c>
    </row>
    <row r="269" spans="1:1" x14ac:dyDescent="0.25">
      <c r="A269" s="3" t="str">
        <f t="shared" si="5"/>
        <v/>
      </c>
    </row>
    <row r="270" spans="1:1" x14ac:dyDescent="0.25">
      <c r="A270" s="3" t="str">
        <f t="shared" si="5"/>
        <v/>
      </c>
    </row>
    <row r="271" spans="1:1" x14ac:dyDescent="0.25">
      <c r="A271" s="3" t="str">
        <f t="shared" si="5"/>
        <v/>
      </c>
    </row>
    <row r="272" spans="1:1" x14ac:dyDescent="0.25">
      <c r="A272" s="3" t="str">
        <f t="shared" si="5"/>
        <v/>
      </c>
    </row>
    <row r="273" spans="1:1" x14ac:dyDescent="0.25">
      <c r="A273" s="3" t="str">
        <f t="shared" si="5"/>
        <v/>
      </c>
    </row>
    <row r="274" spans="1:1" x14ac:dyDescent="0.25">
      <c r="A274" s="3" t="str">
        <f t="shared" si="5"/>
        <v/>
      </c>
    </row>
    <row r="275" spans="1:1" x14ac:dyDescent="0.25">
      <c r="A275" s="3" t="str">
        <f t="shared" si="5"/>
        <v/>
      </c>
    </row>
    <row r="276" spans="1:1" x14ac:dyDescent="0.25">
      <c r="A276" s="3" t="str">
        <f t="shared" si="5"/>
        <v/>
      </c>
    </row>
    <row r="277" spans="1:1" x14ac:dyDescent="0.25">
      <c r="A277" s="3" t="str">
        <f t="shared" si="5"/>
        <v/>
      </c>
    </row>
    <row r="278" spans="1:1" x14ac:dyDescent="0.25">
      <c r="A278" s="3" t="str">
        <f t="shared" si="5"/>
        <v/>
      </c>
    </row>
    <row r="279" spans="1:1" x14ac:dyDescent="0.25">
      <c r="A279" s="3" t="str">
        <f t="shared" si="5"/>
        <v/>
      </c>
    </row>
    <row r="280" spans="1:1" x14ac:dyDescent="0.25">
      <c r="A280" s="3" t="str">
        <f t="shared" si="5"/>
        <v/>
      </c>
    </row>
    <row r="281" spans="1:1" x14ac:dyDescent="0.25">
      <c r="A281" s="3" t="str">
        <f t="shared" si="5"/>
        <v/>
      </c>
    </row>
    <row r="282" spans="1:1" x14ac:dyDescent="0.25">
      <c r="A282" s="3" t="str">
        <f t="shared" si="5"/>
        <v/>
      </c>
    </row>
    <row r="283" spans="1:1" x14ac:dyDescent="0.25">
      <c r="A283" s="3" t="str">
        <f t="shared" si="5"/>
        <v/>
      </c>
    </row>
    <row r="284" spans="1:1" x14ac:dyDescent="0.25">
      <c r="A284" s="3" t="str">
        <f t="shared" si="5"/>
        <v/>
      </c>
    </row>
    <row r="285" spans="1:1" x14ac:dyDescent="0.25">
      <c r="A285" s="3" t="str">
        <f t="shared" si="5"/>
        <v/>
      </c>
    </row>
    <row r="286" spans="1:1" x14ac:dyDescent="0.25">
      <c r="A286" s="3" t="str">
        <f t="shared" si="5"/>
        <v/>
      </c>
    </row>
    <row r="287" spans="1:1" x14ac:dyDescent="0.25">
      <c r="A287" s="3" t="str">
        <f t="shared" si="5"/>
        <v/>
      </c>
    </row>
    <row r="288" spans="1:1" x14ac:dyDescent="0.25">
      <c r="A288" s="3" t="str">
        <f t="shared" si="5"/>
        <v/>
      </c>
    </row>
    <row r="289" spans="1:1" x14ac:dyDescent="0.25">
      <c r="A289" s="3" t="str">
        <f t="shared" si="5"/>
        <v/>
      </c>
    </row>
    <row r="290" spans="1:1" x14ac:dyDescent="0.25">
      <c r="A290" s="3" t="str">
        <f t="shared" si="5"/>
        <v/>
      </c>
    </row>
    <row r="291" spans="1:1" x14ac:dyDescent="0.25">
      <c r="A291" s="3" t="str">
        <f t="shared" si="5"/>
        <v/>
      </c>
    </row>
    <row r="292" spans="1:1" x14ac:dyDescent="0.25">
      <c r="A292" s="3" t="str">
        <f t="shared" si="5"/>
        <v/>
      </c>
    </row>
    <row r="293" spans="1:1" x14ac:dyDescent="0.25">
      <c r="A293" s="3" t="str">
        <f t="shared" si="5"/>
        <v/>
      </c>
    </row>
    <row r="294" spans="1:1" x14ac:dyDescent="0.25">
      <c r="A294" s="3" t="str">
        <f t="shared" si="5"/>
        <v/>
      </c>
    </row>
    <row r="295" spans="1:1" x14ac:dyDescent="0.25">
      <c r="A295" s="3" t="str">
        <f t="shared" si="5"/>
        <v/>
      </c>
    </row>
    <row r="296" spans="1:1" x14ac:dyDescent="0.25">
      <c r="A296" s="3" t="str">
        <f t="shared" si="5"/>
        <v/>
      </c>
    </row>
    <row r="297" spans="1:1" x14ac:dyDescent="0.25">
      <c r="A297" s="3" t="str">
        <f t="shared" si="5"/>
        <v/>
      </c>
    </row>
    <row r="298" spans="1:1" x14ac:dyDescent="0.25">
      <c r="A298" s="3" t="str">
        <f t="shared" si="5"/>
        <v/>
      </c>
    </row>
    <row r="299" spans="1:1" x14ac:dyDescent="0.25">
      <c r="A299" s="3" t="str">
        <f t="shared" si="5"/>
        <v/>
      </c>
    </row>
    <row r="300" spans="1:1" x14ac:dyDescent="0.25">
      <c r="A300" s="3" t="str">
        <f t="shared" si="5"/>
        <v/>
      </c>
    </row>
    <row r="301" spans="1:1" x14ac:dyDescent="0.25">
      <c r="A301" s="3" t="str">
        <f t="shared" si="5"/>
        <v/>
      </c>
    </row>
    <row r="302" spans="1:1" x14ac:dyDescent="0.25">
      <c r="A302" s="3" t="str">
        <f t="shared" si="5"/>
        <v/>
      </c>
    </row>
    <row r="303" spans="1:1" x14ac:dyDescent="0.25">
      <c r="A303" s="3" t="str">
        <f t="shared" si="5"/>
        <v/>
      </c>
    </row>
    <row r="304" spans="1:1" x14ac:dyDescent="0.25">
      <c r="A304" s="3" t="str">
        <f t="shared" si="5"/>
        <v/>
      </c>
    </row>
    <row r="305" spans="1:1" x14ac:dyDescent="0.25">
      <c r="A305" s="3" t="str">
        <f t="shared" si="5"/>
        <v/>
      </c>
    </row>
    <row r="306" spans="1:1" x14ac:dyDescent="0.25">
      <c r="A306" s="3" t="str">
        <f t="shared" si="5"/>
        <v/>
      </c>
    </row>
    <row r="307" spans="1:1" x14ac:dyDescent="0.25">
      <c r="A307" s="3" t="str">
        <f t="shared" si="5"/>
        <v/>
      </c>
    </row>
    <row r="308" spans="1:1" x14ac:dyDescent="0.25">
      <c r="A308" s="3" t="str">
        <f t="shared" si="5"/>
        <v/>
      </c>
    </row>
    <row r="309" spans="1:1" x14ac:dyDescent="0.25">
      <c r="A309" s="3" t="str">
        <f t="shared" si="5"/>
        <v/>
      </c>
    </row>
    <row r="310" spans="1:1" x14ac:dyDescent="0.25">
      <c r="A310" s="3" t="str">
        <f t="shared" si="5"/>
        <v/>
      </c>
    </row>
    <row r="311" spans="1:1" x14ac:dyDescent="0.25">
      <c r="A311" s="3" t="str">
        <f t="shared" si="5"/>
        <v/>
      </c>
    </row>
    <row r="312" spans="1:1" x14ac:dyDescent="0.25">
      <c r="A312" s="3" t="str">
        <f t="shared" si="5"/>
        <v/>
      </c>
    </row>
    <row r="313" spans="1:1" x14ac:dyDescent="0.25">
      <c r="A313" s="3" t="str">
        <f t="shared" si="5"/>
        <v/>
      </c>
    </row>
    <row r="314" spans="1:1" x14ac:dyDescent="0.25">
      <c r="A314" s="3" t="str">
        <f t="shared" si="5"/>
        <v/>
      </c>
    </row>
    <row r="315" spans="1:1" x14ac:dyDescent="0.25">
      <c r="A315" s="3" t="str">
        <f t="shared" si="5"/>
        <v/>
      </c>
    </row>
    <row r="316" spans="1:1" x14ac:dyDescent="0.25">
      <c r="A316" s="3" t="str">
        <f t="shared" si="5"/>
        <v/>
      </c>
    </row>
    <row r="317" spans="1:1" x14ac:dyDescent="0.25">
      <c r="A317" s="3" t="str">
        <f t="shared" si="5"/>
        <v/>
      </c>
    </row>
    <row r="318" spans="1:1" x14ac:dyDescent="0.25">
      <c r="A318" s="3" t="str">
        <f t="shared" si="5"/>
        <v/>
      </c>
    </row>
    <row r="319" spans="1:1" x14ac:dyDescent="0.25">
      <c r="A319" s="3" t="str">
        <f t="shared" si="5"/>
        <v/>
      </c>
    </row>
    <row r="320" spans="1:1" x14ac:dyDescent="0.25">
      <c r="A320" s="3" t="str">
        <f t="shared" si="5"/>
        <v/>
      </c>
    </row>
    <row r="321" spans="1:1" x14ac:dyDescent="0.25">
      <c r="A321" s="3" t="str">
        <f t="shared" si="5"/>
        <v/>
      </c>
    </row>
    <row r="322" spans="1:1" x14ac:dyDescent="0.25">
      <c r="A322" s="3" t="str">
        <f t="shared" si="5"/>
        <v/>
      </c>
    </row>
    <row r="323" spans="1:1" x14ac:dyDescent="0.25">
      <c r="A323" s="3" t="str">
        <f t="shared" si="5"/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ref="A329:A392" si="6">IF(B329&lt;&gt; "",ROW(B329) - 8,"")</f>
        <v/>
      </c>
    </row>
    <row r="330" spans="1:1" x14ac:dyDescent="0.25">
      <c r="A330" s="3" t="str">
        <f t="shared" si="6"/>
        <v/>
      </c>
    </row>
    <row r="331" spans="1:1" x14ac:dyDescent="0.25">
      <c r="A331" s="3" t="str">
        <f t="shared" si="6"/>
        <v/>
      </c>
    </row>
    <row r="332" spans="1:1" x14ac:dyDescent="0.25">
      <c r="A332" s="3" t="str">
        <f t="shared" si="6"/>
        <v/>
      </c>
    </row>
    <row r="333" spans="1:1" x14ac:dyDescent="0.25">
      <c r="A333" s="3" t="str">
        <f t="shared" si="6"/>
        <v/>
      </c>
    </row>
    <row r="334" spans="1:1" x14ac:dyDescent="0.25">
      <c r="A334" s="3" t="str">
        <f t="shared" si="6"/>
        <v/>
      </c>
    </row>
    <row r="335" spans="1:1" x14ac:dyDescent="0.25">
      <c r="A335" s="3" t="str">
        <f t="shared" si="6"/>
        <v/>
      </c>
    </row>
    <row r="336" spans="1:1" x14ac:dyDescent="0.25">
      <c r="A336" s="3" t="str">
        <f t="shared" si="6"/>
        <v/>
      </c>
    </row>
    <row r="337" spans="1:1" x14ac:dyDescent="0.25">
      <c r="A337" s="3" t="str">
        <f t="shared" si="6"/>
        <v/>
      </c>
    </row>
    <row r="338" spans="1:1" x14ac:dyDescent="0.25">
      <c r="A338" s="3" t="str">
        <f t="shared" si="6"/>
        <v/>
      </c>
    </row>
    <row r="339" spans="1:1" x14ac:dyDescent="0.25">
      <c r="A339" s="3" t="str">
        <f t="shared" si="6"/>
        <v/>
      </c>
    </row>
    <row r="340" spans="1:1" x14ac:dyDescent="0.25">
      <c r="A340" s="3" t="str">
        <f t="shared" si="6"/>
        <v/>
      </c>
    </row>
    <row r="341" spans="1:1" x14ac:dyDescent="0.25">
      <c r="A341" s="3" t="str">
        <f t="shared" si="6"/>
        <v/>
      </c>
    </row>
    <row r="342" spans="1:1" x14ac:dyDescent="0.25">
      <c r="A342" s="3" t="str">
        <f t="shared" si="6"/>
        <v/>
      </c>
    </row>
    <row r="343" spans="1:1" x14ac:dyDescent="0.25">
      <c r="A343" s="3" t="str">
        <f t="shared" si="6"/>
        <v/>
      </c>
    </row>
    <row r="344" spans="1:1" x14ac:dyDescent="0.25">
      <c r="A344" s="3" t="str">
        <f t="shared" si="6"/>
        <v/>
      </c>
    </row>
    <row r="345" spans="1:1" x14ac:dyDescent="0.25">
      <c r="A345" s="3" t="str">
        <f t="shared" si="6"/>
        <v/>
      </c>
    </row>
    <row r="346" spans="1:1" x14ac:dyDescent="0.25">
      <c r="A346" s="3" t="str">
        <f t="shared" si="6"/>
        <v/>
      </c>
    </row>
    <row r="347" spans="1:1" x14ac:dyDescent="0.25">
      <c r="A347" s="3" t="str">
        <f t="shared" si="6"/>
        <v/>
      </c>
    </row>
    <row r="348" spans="1:1" x14ac:dyDescent="0.25">
      <c r="A348" s="3" t="str">
        <f t="shared" si="6"/>
        <v/>
      </c>
    </row>
    <row r="349" spans="1:1" x14ac:dyDescent="0.25">
      <c r="A349" s="3" t="str">
        <f t="shared" si="6"/>
        <v/>
      </c>
    </row>
    <row r="350" spans="1:1" x14ac:dyDescent="0.25">
      <c r="A350" s="3" t="str">
        <f t="shared" si="6"/>
        <v/>
      </c>
    </row>
    <row r="351" spans="1:1" x14ac:dyDescent="0.25">
      <c r="A351" s="3" t="str">
        <f t="shared" si="6"/>
        <v/>
      </c>
    </row>
    <row r="352" spans="1:1" x14ac:dyDescent="0.25">
      <c r="A352" s="3" t="str">
        <f t="shared" si="6"/>
        <v/>
      </c>
    </row>
    <row r="353" spans="1:1" x14ac:dyDescent="0.25">
      <c r="A353" s="3" t="str">
        <f t="shared" si="6"/>
        <v/>
      </c>
    </row>
    <row r="354" spans="1:1" x14ac:dyDescent="0.25">
      <c r="A354" s="3" t="str">
        <f t="shared" si="6"/>
        <v/>
      </c>
    </row>
    <row r="355" spans="1:1" x14ac:dyDescent="0.25">
      <c r="A355" s="3" t="str">
        <f t="shared" si="6"/>
        <v/>
      </c>
    </row>
    <row r="356" spans="1:1" x14ac:dyDescent="0.25">
      <c r="A356" s="3" t="str">
        <f t="shared" si="6"/>
        <v/>
      </c>
    </row>
    <row r="357" spans="1:1" x14ac:dyDescent="0.25">
      <c r="A357" s="3" t="str">
        <f t="shared" si="6"/>
        <v/>
      </c>
    </row>
    <row r="358" spans="1:1" x14ac:dyDescent="0.25">
      <c r="A358" s="3" t="str">
        <f t="shared" si="6"/>
        <v/>
      </c>
    </row>
    <row r="359" spans="1:1" x14ac:dyDescent="0.25">
      <c r="A359" s="3" t="str">
        <f t="shared" si="6"/>
        <v/>
      </c>
    </row>
    <row r="360" spans="1:1" x14ac:dyDescent="0.25">
      <c r="A360" s="3" t="str">
        <f t="shared" si="6"/>
        <v/>
      </c>
    </row>
    <row r="361" spans="1:1" x14ac:dyDescent="0.25">
      <c r="A361" s="3" t="str">
        <f t="shared" si="6"/>
        <v/>
      </c>
    </row>
    <row r="362" spans="1:1" x14ac:dyDescent="0.25">
      <c r="A362" s="3" t="str">
        <f t="shared" si="6"/>
        <v/>
      </c>
    </row>
    <row r="363" spans="1:1" x14ac:dyDescent="0.25">
      <c r="A363" s="3" t="str">
        <f t="shared" si="6"/>
        <v/>
      </c>
    </row>
    <row r="364" spans="1:1" x14ac:dyDescent="0.25">
      <c r="A364" s="3" t="str">
        <f t="shared" si="6"/>
        <v/>
      </c>
    </row>
    <row r="365" spans="1:1" x14ac:dyDescent="0.25">
      <c r="A365" s="3" t="str">
        <f t="shared" si="6"/>
        <v/>
      </c>
    </row>
    <row r="366" spans="1:1" x14ac:dyDescent="0.25">
      <c r="A366" s="3" t="str">
        <f t="shared" si="6"/>
        <v/>
      </c>
    </row>
    <row r="367" spans="1:1" x14ac:dyDescent="0.25">
      <c r="A367" s="3" t="str">
        <f t="shared" si="6"/>
        <v/>
      </c>
    </row>
    <row r="368" spans="1:1" x14ac:dyDescent="0.25">
      <c r="A368" s="3" t="str">
        <f t="shared" si="6"/>
        <v/>
      </c>
    </row>
    <row r="369" spans="1:1" x14ac:dyDescent="0.25">
      <c r="A369" s="3" t="str">
        <f t="shared" si="6"/>
        <v/>
      </c>
    </row>
    <row r="370" spans="1:1" x14ac:dyDescent="0.25">
      <c r="A370" s="3" t="str">
        <f t="shared" si="6"/>
        <v/>
      </c>
    </row>
    <row r="371" spans="1:1" x14ac:dyDescent="0.25">
      <c r="A371" s="3" t="str">
        <f t="shared" si="6"/>
        <v/>
      </c>
    </row>
    <row r="372" spans="1:1" x14ac:dyDescent="0.25">
      <c r="A372" s="3" t="str">
        <f t="shared" si="6"/>
        <v/>
      </c>
    </row>
    <row r="373" spans="1:1" x14ac:dyDescent="0.25">
      <c r="A373" s="3" t="str">
        <f t="shared" si="6"/>
        <v/>
      </c>
    </row>
    <row r="374" spans="1:1" x14ac:dyDescent="0.25">
      <c r="A374" s="3" t="str">
        <f t="shared" si="6"/>
        <v/>
      </c>
    </row>
    <row r="375" spans="1:1" x14ac:dyDescent="0.25">
      <c r="A375" s="3" t="str">
        <f t="shared" si="6"/>
        <v/>
      </c>
    </row>
    <row r="376" spans="1:1" x14ac:dyDescent="0.25">
      <c r="A376" s="3" t="str">
        <f t="shared" si="6"/>
        <v/>
      </c>
    </row>
    <row r="377" spans="1:1" x14ac:dyDescent="0.25">
      <c r="A377" s="3" t="str">
        <f t="shared" si="6"/>
        <v/>
      </c>
    </row>
    <row r="378" spans="1:1" x14ac:dyDescent="0.25">
      <c r="A378" s="3" t="str">
        <f t="shared" si="6"/>
        <v/>
      </c>
    </row>
    <row r="379" spans="1:1" x14ac:dyDescent="0.25">
      <c r="A379" s="3" t="str">
        <f t="shared" si="6"/>
        <v/>
      </c>
    </row>
    <row r="380" spans="1:1" x14ac:dyDescent="0.25">
      <c r="A380" s="3" t="str">
        <f t="shared" si="6"/>
        <v/>
      </c>
    </row>
    <row r="381" spans="1:1" x14ac:dyDescent="0.25">
      <c r="A381" s="3" t="str">
        <f t="shared" si="6"/>
        <v/>
      </c>
    </row>
    <row r="382" spans="1:1" x14ac:dyDescent="0.25">
      <c r="A382" s="3" t="str">
        <f t="shared" si="6"/>
        <v/>
      </c>
    </row>
    <row r="383" spans="1:1" x14ac:dyDescent="0.25">
      <c r="A383" s="3" t="str">
        <f t="shared" si="6"/>
        <v/>
      </c>
    </row>
    <row r="384" spans="1:1" x14ac:dyDescent="0.25">
      <c r="A384" s="3" t="str">
        <f t="shared" si="6"/>
        <v/>
      </c>
    </row>
    <row r="385" spans="1:1" x14ac:dyDescent="0.25">
      <c r="A385" s="3" t="str">
        <f t="shared" si="6"/>
        <v/>
      </c>
    </row>
    <row r="386" spans="1:1" x14ac:dyDescent="0.25">
      <c r="A386" s="3" t="str">
        <f t="shared" si="6"/>
        <v/>
      </c>
    </row>
    <row r="387" spans="1:1" x14ac:dyDescent="0.25">
      <c r="A387" s="3" t="str">
        <f t="shared" si="6"/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ref="A393:A456" si="7">IF(B393&lt;&gt; "",ROW(B393) - 8,"")</f>
        <v/>
      </c>
    </row>
    <row r="394" spans="1:1" x14ac:dyDescent="0.25">
      <c r="A394" s="3" t="str">
        <f t="shared" si="7"/>
        <v/>
      </c>
    </row>
    <row r="395" spans="1:1" x14ac:dyDescent="0.25">
      <c r="A395" s="3" t="str">
        <f t="shared" si="7"/>
        <v/>
      </c>
    </row>
    <row r="396" spans="1:1" x14ac:dyDescent="0.25">
      <c r="A396" s="3" t="str">
        <f t="shared" si="7"/>
        <v/>
      </c>
    </row>
    <row r="397" spans="1:1" x14ac:dyDescent="0.25">
      <c r="A397" s="3" t="str">
        <f t="shared" si="7"/>
        <v/>
      </c>
    </row>
    <row r="398" spans="1:1" x14ac:dyDescent="0.25">
      <c r="A398" s="3" t="str">
        <f t="shared" si="7"/>
        <v/>
      </c>
    </row>
    <row r="399" spans="1:1" x14ac:dyDescent="0.25">
      <c r="A399" s="3" t="str">
        <f t="shared" si="7"/>
        <v/>
      </c>
    </row>
    <row r="400" spans="1:1" x14ac:dyDescent="0.25">
      <c r="A400" s="3" t="str">
        <f t="shared" si="7"/>
        <v/>
      </c>
    </row>
    <row r="401" spans="1:1" x14ac:dyDescent="0.25">
      <c r="A401" s="3" t="str">
        <f t="shared" si="7"/>
        <v/>
      </c>
    </row>
    <row r="402" spans="1:1" x14ac:dyDescent="0.25">
      <c r="A402" s="3" t="str">
        <f t="shared" si="7"/>
        <v/>
      </c>
    </row>
    <row r="403" spans="1:1" x14ac:dyDescent="0.25">
      <c r="A403" s="3" t="str">
        <f t="shared" si="7"/>
        <v/>
      </c>
    </row>
    <row r="404" spans="1:1" x14ac:dyDescent="0.25">
      <c r="A404" s="3" t="str">
        <f t="shared" si="7"/>
        <v/>
      </c>
    </row>
    <row r="405" spans="1:1" x14ac:dyDescent="0.25">
      <c r="A405" s="3" t="str">
        <f t="shared" si="7"/>
        <v/>
      </c>
    </row>
    <row r="406" spans="1:1" x14ac:dyDescent="0.25">
      <c r="A406" s="3" t="str">
        <f t="shared" si="7"/>
        <v/>
      </c>
    </row>
    <row r="407" spans="1:1" x14ac:dyDescent="0.25">
      <c r="A407" s="3" t="str">
        <f t="shared" si="7"/>
        <v/>
      </c>
    </row>
    <row r="408" spans="1:1" x14ac:dyDescent="0.25">
      <c r="A408" s="3" t="str">
        <f t="shared" si="7"/>
        <v/>
      </c>
    </row>
    <row r="409" spans="1:1" x14ac:dyDescent="0.25">
      <c r="A409" s="3" t="str">
        <f t="shared" si="7"/>
        <v/>
      </c>
    </row>
    <row r="410" spans="1:1" x14ac:dyDescent="0.25">
      <c r="A410" s="3" t="str">
        <f t="shared" si="7"/>
        <v/>
      </c>
    </row>
    <row r="411" spans="1:1" x14ac:dyDescent="0.25">
      <c r="A411" s="3" t="str">
        <f t="shared" si="7"/>
        <v/>
      </c>
    </row>
    <row r="412" spans="1:1" x14ac:dyDescent="0.25">
      <c r="A412" s="3" t="str">
        <f t="shared" si="7"/>
        <v/>
      </c>
    </row>
    <row r="413" spans="1:1" x14ac:dyDescent="0.25">
      <c r="A413" s="3" t="str">
        <f t="shared" si="7"/>
        <v/>
      </c>
    </row>
    <row r="414" spans="1:1" x14ac:dyDescent="0.25">
      <c r="A414" s="3" t="str">
        <f t="shared" si="7"/>
        <v/>
      </c>
    </row>
    <row r="415" spans="1:1" x14ac:dyDescent="0.25">
      <c r="A415" s="3" t="str">
        <f t="shared" si="7"/>
        <v/>
      </c>
    </row>
    <row r="416" spans="1:1" x14ac:dyDescent="0.25">
      <c r="A416" s="3" t="str">
        <f t="shared" si="7"/>
        <v/>
      </c>
    </row>
    <row r="417" spans="1:1" x14ac:dyDescent="0.25">
      <c r="A417" s="3" t="str">
        <f t="shared" si="7"/>
        <v/>
      </c>
    </row>
    <row r="418" spans="1:1" x14ac:dyDescent="0.25">
      <c r="A418" s="3" t="str">
        <f t="shared" si="7"/>
        <v/>
      </c>
    </row>
    <row r="419" spans="1:1" x14ac:dyDescent="0.25">
      <c r="A419" s="3" t="str">
        <f t="shared" si="7"/>
        <v/>
      </c>
    </row>
    <row r="420" spans="1:1" x14ac:dyDescent="0.25">
      <c r="A420" s="3" t="str">
        <f t="shared" si="7"/>
        <v/>
      </c>
    </row>
    <row r="421" spans="1:1" x14ac:dyDescent="0.25">
      <c r="A421" s="3" t="str">
        <f t="shared" si="7"/>
        <v/>
      </c>
    </row>
    <row r="422" spans="1:1" x14ac:dyDescent="0.25">
      <c r="A422" s="3" t="str">
        <f t="shared" si="7"/>
        <v/>
      </c>
    </row>
    <row r="423" spans="1:1" x14ac:dyDescent="0.25">
      <c r="A423" s="3" t="str">
        <f t="shared" si="7"/>
        <v/>
      </c>
    </row>
    <row r="424" spans="1:1" x14ac:dyDescent="0.25">
      <c r="A424" s="3" t="str">
        <f t="shared" si="7"/>
        <v/>
      </c>
    </row>
    <row r="425" spans="1:1" x14ac:dyDescent="0.25">
      <c r="A425" s="3" t="str">
        <f t="shared" si="7"/>
        <v/>
      </c>
    </row>
    <row r="426" spans="1:1" x14ac:dyDescent="0.25">
      <c r="A426" s="3" t="str">
        <f t="shared" si="7"/>
        <v/>
      </c>
    </row>
    <row r="427" spans="1:1" x14ac:dyDescent="0.25">
      <c r="A427" s="3" t="str">
        <f t="shared" si="7"/>
        <v/>
      </c>
    </row>
    <row r="428" spans="1:1" x14ac:dyDescent="0.25">
      <c r="A428" s="3" t="str">
        <f t="shared" si="7"/>
        <v/>
      </c>
    </row>
    <row r="429" spans="1:1" x14ac:dyDescent="0.25">
      <c r="A429" s="3" t="str">
        <f t="shared" si="7"/>
        <v/>
      </c>
    </row>
    <row r="430" spans="1:1" x14ac:dyDescent="0.25">
      <c r="A430" s="3" t="str">
        <f t="shared" si="7"/>
        <v/>
      </c>
    </row>
    <row r="431" spans="1:1" x14ac:dyDescent="0.25">
      <c r="A431" s="3" t="str">
        <f t="shared" si="7"/>
        <v/>
      </c>
    </row>
    <row r="432" spans="1:1" x14ac:dyDescent="0.25">
      <c r="A432" s="3" t="str">
        <f t="shared" si="7"/>
        <v/>
      </c>
    </row>
    <row r="433" spans="1:1" x14ac:dyDescent="0.25">
      <c r="A433" s="3" t="str">
        <f t="shared" si="7"/>
        <v/>
      </c>
    </row>
    <row r="434" spans="1:1" x14ac:dyDescent="0.25">
      <c r="A434" s="3" t="str">
        <f t="shared" si="7"/>
        <v/>
      </c>
    </row>
    <row r="435" spans="1:1" x14ac:dyDescent="0.25">
      <c r="A435" s="3" t="str">
        <f t="shared" si="7"/>
        <v/>
      </c>
    </row>
    <row r="436" spans="1:1" x14ac:dyDescent="0.25">
      <c r="A436" s="3" t="str">
        <f t="shared" si="7"/>
        <v/>
      </c>
    </row>
    <row r="437" spans="1:1" x14ac:dyDescent="0.25">
      <c r="A437" s="3" t="str">
        <f t="shared" si="7"/>
        <v/>
      </c>
    </row>
    <row r="438" spans="1:1" x14ac:dyDescent="0.25">
      <c r="A438" s="3" t="str">
        <f t="shared" si="7"/>
        <v/>
      </c>
    </row>
    <row r="439" spans="1:1" x14ac:dyDescent="0.25">
      <c r="A439" s="3" t="str">
        <f t="shared" si="7"/>
        <v/>
      </c>
    </row>
    <row r="440" spans="1:1" x14ac:dyDescent="0.25">
      <c r="A440" s="3" t="str">
        <f t="shared" si="7"/>
        <v/>
      </c>
    </row>
    <row r="441" spans="1:1" x14ac:dyDescent="0.25">
      <c r="A441" s="3" t="str">
        <f t="shared" si="7"/>
        <v/>
      </c>
    </row>
    <row r="442" spans="1:1" x14ac:dyDescent="0.25">
      <c r="A442" s="3" t="str">
        <f t="shared" si="7"/>
        <v/>
      </c>
    </row>
    <row r="443" spans="1:1" x14ac:dyDescent="0.25">
      <c r="A443" s="3" t="str">
        <f t="shared" si="7"/>
        <v/>
      </c>
    </row>
    <row r="444" spans="1:1" x14ac:dyDescent="0.25">
      <c r="A444" s="3" t="str">
        <f t="shared" si="7"/>
        <v/>
      </c>
    </row>
    <row r="445" spans="1:1" x14ac:dyDescent="0.25">
      <c r="A445" s="3" t="str">
        <f t="shared" si="7"/>
        <v/>
      </c>
    </row>
    <row r="446" spans="1:1" x14ac:dyDescent="0.25">
      <c r="A446" s="3" t="str">
        <f t="shared" si="7"/>
        <v/>
      </c>
    </row>
    <row r="447" spans="1:1" x14ac:dyDescent="0.25">
      <c r="A447" s="3" t="str">
        <f t="shared" si="7"/>
        <v/>
      </c>
    </row>
    <row r="448" spans="1:1" x14ac:dyDescent="0.25">
      <c r="A448" s="3" t="str">
        <f t="shared" si="7"/>
        <v/>
      </c>
    </row>
    <row r="449" spans="1:1" x14ac:dyDescent="0.25">
      <c r="A449" s="3" t="str">
        <f t="shared" si="7"/>
        <v/>
      </c>
    </row>
    <row r="450" spans="1:1" x14ac:dyDescent="0.25">
      <c r="A450" s="3" t="str">
        <f t="shared" si="7"/>
        <v/>
      </c>
    </row>
    <row r="451" spans="1:1" x14ac:dyDescent="0.25">
      <c r="A451" s="3" t="str">
        <f t="shared" si="7"/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ref="A457:A520" si="8">IF(B457&lt;&gt; "",ROW(B457) - 8,"")</f>
        <v/>
      </c>
    </row>
    <row r="458" spans="1:1" x14ac:dyDescent="0.25">
      <c r="A458" s="3" t="str">
        <f t="shared" si="8"/>
        <v/>
      </c>
    </row>
    <row r="459" spans="1:1" x14ac:dyDescent="0.25">
      <c r="A459" s="3" t="str">
        <f t="shared" si="8"/>
        <v/>
      </c>
    </row>
    <row r="460" spans="1:1" x14ac:dyDescent="0.25">
      <c r="A460" s="3" t="str">
        <f t="shared" si="8"/>
        <v/>
      </c>
    </row>
    <row r="461" spans="1:1" x14ac:dyDescent="0.25">
      <c r="A461" s="3" t="str">
        <f t="shared" si="8"/>
        <v/>
      </c>
    </row>
    <row r="462" spans="1:1" x14ac:dyDescent="0.25">
      <c r="A462" s="3" t="str">
        <f t="shared" si="8"/>
        <v/>
      </c>
    </row>
    <row r="463" spans="1:1" x14ac:dyDescent="0.25">
      <c r="A463" s="3" t="str">
        <f t="shared" si="8"/>
        <v/>
      </c>
    </row>
    <row r="464" spans="1:1" x14ac:dyDescent="0.25">
      <c r="A464" s="3" t="str">
        <f t="shared" si="8"/>
        <v/>
      </c>
    </row>
    <row r="465" spans="1:1" x14ac:dyDescent="0.25">
      <c r="A465" s="3" t="str">
        <f t="shared" si="8"/>
        <v/>
      </c>
    </row>
    <row r="466" spans="1:1" x14ac:dyDescent="0.25">
      <c r="A466" s="3" t="str">
        <f t="shared" si="8"/>
        <v/>
      </c>
    </row>
    <row r="467" spans="1:1" x14ac:dyDescent="0.25">
      <c r="A467" s="3" t="str">
        <f t="shared" si="8"/>
        <v/>
      </c>
    </row>
    <row r="468" spans="1:1" x14ac:dyDescent="0.25">
      <c r="A468" s="3" t="str">
        <f t="shared" si="8"/>
        <v/>
      </c>
    </row>
    <row r="469" spans="1:1" x14ac:dyDescent="0.25">
      <c r="A469" s="3" t="str">
        <f t="shared" si="8"/>
        <v/>
      </c>
    </row>
    <row r="470" spans="1:1" x14ac:dyDescent="0.25">
      <c r="A470" s="3" t="str">
        <f t="shared" si="8"/>
        <v/>
      </c>
    </row>
    <row r="471" spans="1:1" x14ac:dyDescent="0.25">
      <c r="A471" s="3" t="str">
        <f t="shared" si="8"/>
        <v/>
      </c>
    </row>
    <row r="472" spans="1:1" x14ac:dyDescent="0.25">
      <c r="A472" s="3" t="str">
        <f t="shared" si="8"/>
        <v/>
      </c>
    </row>
    <row r="473" spans="1:1" x14ac:dyDescent="0.25">
      <c r="A473" s="3" t="str">
        <f t="shared" si="8"/>
        <v/>
      </c>
    </row>
    <row r="474" spans="1:1" x14ac:dyDescent="0.25">
      <c r="A474" s="3" t="str">
        <f t="shared" si="8"/>
        <v/>
      </c>
    </row>
    <row r="475" spans="1:1" x14ac:dyDescent="0.25">
      <c r="A475" s="3" t="str">
        <f t="shared" si="8"/>
        <v/>
      </c>
    </row>
    <row r="476" spans="1:1" x14ac:dyDescent="0.25">
      <c r="A476" s="3" t="str">
        <f t="shared" si="8"/>
        <v/>
      </c>
    </row>
    <row r="477" spans="1:1" x14ac:dyDescent="0.25">
      <c r="A477" s="3" t="str">
        <f t="shared" si="8"/>
        <v/>
      </c>
    </row>
    <row r="478" spans="1:1" x14ac:dyDescent="0.25">
      <c r="A478" s="3" t="str">
        <f t="shared" si="8"/>
        <v/>
      </c>
    </row>
    <row r="479" spans="1:1" x14ac:dyDescent="0.25">
      <c r="A479" s="3" t="str">
        <f t="shared" si="8"/>
        <v/>
      </c>
    </row>
    <row r="480" spans="1:1" x14ac:dyDescent="0.25">
      <c r="A480" s="3" t="str">
        <f t="shared" si="8"/>
        <v/>
      </c>
    </row>
    <row r="481" spans="1:1" x14ac:dyDescent="0.25">
      <c r="A481" s="3" t="str">
        <f t="shared" si="8"/>
        <v/>
      </c>
    </row>
    <row r="482" spans="1:1" x14ac:dyDescent="0.25">
      <c r="A482" s="3" t="str">
        <f t="shared" si="8"/>
        <v/>
      </c>
    </row>
    <row r="483" spans="1:1" x14ac:dyDescent="0.25">
      <c r="A483" s="3" t="str">
        <f t="shared" si="8"/>
        <v/>
      </c>
    </row>
    <row r="484" spans="1:1" x14ac:dyDescent="0.25">
      <c r="A484" s="3" t="str">
        <f t="shared" si="8"/>
        <v/>
      </c>
    </row>
    <row r="485" spans="1:1" x14ac:dyDescent="0.25">
      <c r="A485" s="3" t="str">
        <f t="shared" si="8"/>
        <v/>
      </c>
    </row>
    <row r="486" spans="1:1" x14ac:dyDescent="0.25">
      <c r="A486" s="3" t="str">
        <f t="shared" si="8"/>
        <v/>
      </c>
    </row>
    <row r="487" spans="1:1" x14ac:dyDescent="0.25">
      <c r="A487" s="3" t="str">
        <f t="shared" si="8"/>
        <v/>
      </c>
    </row>
    <row r="488" spans="1:1" x14ac:dyDescent="0.25">
      <c r="A488" s="3" t="str">
        <f t="shared" si="8"/>
        <v/>
      </c>
    </row>
    <row r="489" spans="1:1" x14ac:dyDescent="0.25">
      <c r="A489" s="3" t="str">
        <f t="shared" si="8"/>
        <v/>
      </c>
    </row>
    <row r="490" spans="1:1" x14ac:dyDescent="0.25">
      <c r="A490" s="3" t="str">
        <f t="shared" si="8"/>
        <v/>
      </c>
    </row>
    <row r="491" spans="1:1" x14ac:dyDescent="0.25">
      <c r="A491" s="3" t="str">
        <f t="shared" si="8"/>
        <v/>
      </c>
    </row>
    <row r="492" spans="1:1" x14ac:dyDescent="0.25">
      <c r="A492" s="3" t="str">
        <f t="shared" si="8"/>
        <v/>
      </c>
    </row>
    <row r="493" spans="1:1" x14ac:dyDescent="0.25">
      <c r="A493" s="3" t="str">
        <f t="shared" si="8"/>
        <v/>
      </c>
    </row>
    <row r="494" spans="1:1" x14ac:dyDescent="0.25">
      <c r="A494" s="3" t="str">
        <f t="shared" si="8"/>
        <v/>
      </c>
    </row>
    <row r="495" spans="1:1" x14ac:dyDescent="0.25">
      <c r="A495" s="3" t="str">
        <f t="shared" si="8"/>
        <v/>
      </c>
    </row>
    <row r="496" spans="1:1" x14ac:dyDescent="0.25">
      <c r="A496" s="3" t="str">
        <f t="shared" si="8"/>
        <v/>
      </c>
    </row>
    <row r="497" spans="1:1" x14ac:dyDescent="0.25">
      <c r="A497" s="3" t="str">
        <f t="shared" si="8"/>
        <v/>
      </c>
    </row>
    <row r="498" spans="1:1" x14ac:dyDescent="0.25">
      <c r="A498" s="3" t="str">
        <f t="shared" si="8"/>
        <v/>
      </c>
    </row>
    <row r="499" spans="1:1" x14ac:dyDescent="0.25">
      <c r="A499" s="3" t="str">
        <f t="shared" si="8"/>
        <v/>
      </c>
    </row>
    <row r="500" spans="1:1" x14ac:dyDescent="0.25">
      <c r="A500" s="3" t="str">
        <f t="shared" si="8"/>
        <v/>
      </c>
    </row>
    <row r="501" spans="1:1" x14ac:dyDescent="0.25">
      <c r="A501" s="3" t="str">
        <f t="shared" si="8"/>
        <v/>
      </c>
    </row>
    <row r="502" spans="1:1" x14ac:dyDescent="0.25">
      <c r="A502" s="3" t="str">
        <f t="shared" si="8"/>
        <v/>
      </c>
    </row>
    <row r="503" spans="1:1" x14ac:dyDescent="0.25">
      <c r="A503" s="3" t="str">
        <f t="shared" si="8"/>
        <v/>
      </c>
    </row>
    <row r="504" spans="1:1" x14ac:dyDescent="0.25">
      <c r="A504" s="3" t="str">
        <f t="shared" si="8"/>
        <v/>
      </c>
    </row>
    <row r="505" spans="1:1" x14ac:dyDescent="0.25">
      <c r="A505" s="3" t="str">
        <f t="shared" si="8"/>
        <v/>
      </c>
    </row>
    <row r="506" spans="1:1" x14ac:dyDescent="0.25">
      <c r="A506" s="3" t="str">
        <f t="shared" si="8"/>
        <v/>
      </c>
    </row>
    <row r="507" spans="1:1" x14ac:dyDescent="0.25">
      <c r="A507" s="3" t="str">
        <f t="shared" si="8"/>
        <v/>
      </c>
    </row>
    <row r="508" spans="1:1" x14ac:dyDescent="0.25">
      <c r="A508" s="3" t="str">
        <f t="shared" si="8"/>
        <v/>
      </c>
    </row>
    <row r="509" spans="1:1" x14ac:dyDescent="0.25">
      <c r="A509" s="3" t="str">
        <f t="shared" si="8"/>
        <v/>
      </c>
    </row>
    <row r="510" spans="1:1" x14ac:dyDescent="0.25">
      <c r="A510" s="3" t="str">
        <f t="shared" si="8"/>
        <v/>
      </c>
    </row>
    <row r="511" spans="1:1" x14ac:dyDescent="0.25">
      <c r="A511" s="3" t="str">
        <f t="shared" si="8"/>
        <v/>
      </c>
    </row>
    <row r="512" spans="1:1" x14ac:dyDescent="0.25">
      <c r="A512" s="3" t="str">
        <f t="shared" si="8"/>
        <v/>
      </c>
    </row>
    <row r="513" spans="1:1" x14ac:dyDescent="0.25">
      <c r="A513" s="3" t="str">
        <f t="shared" si="8"/>
        <v/>
      </c>
    </row>
    <row r="514" spans="1:1" x14ac:dyDescent="0.25">
      <c r="A514" s="3" t="str">
        <f t="shared" si="8"/>
        <v/>
      </c>
    </row>
    <row r="515" spans="1:1" x14ac:dyDescent="0.25">
      <c r="A515" s="3" t="str">
        <f t="shared" si="8"/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ref="A521:A584" si="9">IF(B521&lt;&gt; "",ROW(B521) - 8,"")</f>
        <v/>
      </c>
    </row>
    <row r="522" spans="1:1" x14ac:dyDescent="0.25">
      <c r="A522" s="3" t="str">
        <f t="shared" si="9"/>
        <v/>
      </c>
    </row>
    <row r="523" spans="1:1" x14ac:dyDescent="0.25">
      <c r="A523" s="3" t="str">
        <f t="shared" si="9"/>
        <v/>
      </c>
    </row>
    <row r="524" spans="1:1" x14ac:dyDescent="0.25">
      <c r="A524" s="3" t="str">
        <f t="shared" si="9"/>
        <v/>
      </c>
    </row>
    <row r="525" spans="1:1" x14ac:dyDescent="0.25">
      <c r="A525" s="3" t="str">
        <f t="shared" si="9"/>
        <v/>
      </c>
    </row>
    <row r="526" spans="1:1" x14ac:dyDescent="0.25">
      <c r="A526" s="3" t="str">
        <f t="shared" si="9"/>
        <v/>
      </c>
    </row>
    <row r="527" spans="1:1" x14ac:dyDescent="0.25">
      <c r="A527" s="3" t="str">
        <f t="shared" si="9"/>
        <v/>
      </c>
    </row>
    <row r="528" spans="1:1" x14ac:dyDescent="0.25">
      <c r="A528" s="3" t="str">
        <f t="shared" si="9"/>
        <v/>
      </c>
    </row>
    <row r="529" spans="1:1" x14ac:dyDescent="0.25">
      <c r="A529" s="3" t="str">
        <f t="shared" si="9"/>
        <v/>
      </c>
    </row>
    <row r="530" spans="1:1" x14ac:dyDescent="0.25">
      <c r="A530" s="3" t="str">
        <f t="shared" si="9"/>
        <v/>
      </c>
    </row>
    <row r="531" spans="1:1" x14ac:dyDescent="0.25">
      <c r="A531" s="3" t="str">
        <f t="shared" si="9"/>
        <v/>
      </c>
    </row>
    <row r="532" spans="1:1" x14ac:dyDescent="0.25">
      <c r="A532" s="3" t="str">
        <f t="shared" si="9"/>
        <v/>
      </c>
    </row>
    <row r="533" spans="1:1" x14ac:dyDescent="0.25">
      <c r="A533" s="3" t="str">
        <f t="shared" si="9"/>
        <v/>
      </c>
    </row>
    <row r="534" spans="1:1" x14ac:dyDescent="0.25">
      <c r="A534" s="3" t="str">
        <f t="shared" si="9"/>
        <v/>
      </c>
    </row>
    <row r="535" spans="1:1" x14ac:dyDescent="0.25">
      <c r="A535" s="3" t="str">
        <f t="shared" si="9"/>
        <v/>
      </c>
    </row>
    <row r="536" spans="1:1" x14ac:dyDescent="0.25">
      <c r="A536" s="3" t="str">
        <f t="shared" si="9"/>
        <v/>
      </c>
    </row>
    <row r="537" spans="1:1" x14ac:dyDescent="0.25">
      <c r="A537" s="3" t="str">
        <f t="shared" si="9"/>
        <v/>
      </c>
    </row>
    <row r="538" spans="1:1" x14ac:dyDescent="0.25">
      <c r="A538" s="3" t="str">
        <f t="shared" si="9"/>
        <v/>
      </c>
    </row>
    <row r="539" spans="1:1" x14ac:dyDescent="0.25">
      <c r="A539" s="3" t="str">
        <f t="shared" si="9"/>
        <v/>
      </c>
    </row>
    <row r="540" spans="1:1" x14ac:dyDescent="0.25">
      <c r="A540" s="3" t="str">
        <f t="shared" si="9"/>
        <v/>
      </c>
    </row>
    <row r="541" spans="1:1" x14ac:dyDescent="0.25">
      <c r="A541" s="3" t="str">
        <f t="shared" si="9"/>
        <v/>
      </c>
    </row>
    <row r="542" spans="1:1" x14ac:dyDescent="0.25">
      <c r="A542" s="3" t="str">
        <f t="shared" si="9"/>
        <v/>
      </c>
    </row>
    <row r="543" spans="1:1" x14ac:dyDescent="0.25">
      <c r="A543" s="3" t="str">
        <f t="shared" si="9"/>
        <v/>
      </c>
    </row>
    <row r="544" spans="1:1" x14ac:dyDescent="0.25">
      <c r="A544" s="3" t="str">
        <f t="shared" si="9"/>
        <v/>
      </c>
    </row>
    <row r="545" spans="1:1" x14ac:dyDescent="0.25">
      <c r="A545" s="3" t="str">
        <f t="shared" si="9"/>
        <v/>
      </c>
    </row>
    <row r="546" spans="1:1" x14ac:dyDescent="0.25">
      <c r="A546" s="3" t="str">
        <f t="shared" si="9"/>
        <v/>
      </c>
    </row>
    <row r="547" spans="1:1" x14ac:dyDescent="0.25">
      <c r="A547" s="3" t="str">
        <f t="shared" si="9"/>
        <v/>
      </c>
    </row>
    <row r="548" spans="1:1" x14ac:dyDescent="0.25">
      <c r="A548" s="3" t="str">
        <f t="shared" si="9"/>
        <v/>
      </c>
    </row>
    <row r="549" spans="1:1" x14ac:dyDescent="0.25">
      <c r="A549" s="3" t="str">
        <f t="shared" si="9"/>
        <v/>
      </c>
    </row>
    <row r="550" spans="1:1" x14ac:dyDescent="0.25">
      <c r="A550" s="3" t="str">
        <f t="shared" si="9"/>
        <v/>
      </c>
    </row>
    <row r="551" spans="1:1" x14ac:dyDescent="0.25">
      <c r="A551" s="3" t="str">
        <f t="shared" si="9"/>
        <v/>
      </c>
    </row>
    <row r="552" spans="1:1" x14ac:dyDescent="0.25">
      <c r="A552" s="3" t="str">
        <f t="shared" si="9"/>
        <v/>
      </c>
    </row>
    <row r="553" spans="1:1" x14ac:dyDescent="0.25">
      <c r="A553" s="3" t="str">
        <f t="shared" si="9"/>
        <v/>
      </c>
    </row>
    <row r="554" spans="1:1" x14ac:dyDescent="0.25">
      <c r="A554" s="3" t="str">
        <f t="shared" si="9"/>
        <v/>
      </c>
    </row>
    <row r="555" spans="1:1" x14ac:dyDescent="0.25">
      <c r="A555" s="3" t="str">
        <f t="shared" si="9"/>
        <v/>
      </c>
    </row>
    <row r="556" spans="1:1" x14ac:dyDescent="0.25">
      <c r="A556" s="3" t="str">
        <f t="shared" si="9"/>
        <v/>
      </c>
    </row>
    <row r="557" spans="1:1" x14ac:dyDescent="0.25">
      <c r="A557" s="3" t="str">
        <f t="shared" si="9"/>
        <v/>
      </c>
    </row>
    <row r="558" spans="1:1" x14ac:dyDescent="0.25">
      <c r="A558" s="3" t="str">
        <f t="shared" si="9"/>
        <v/>
      </c>
    </row>
    <row r="559" spans="1:1" x14ac:dyDescent="0.25">
      <c r="A559" s="3" t="str">
        <f t="shared" si="9"/>
        <v/>
      </c>
    </row>
    <row r="560" spans="1:1" x14ac:dyDescent="0.25">
      <c r="A560" s="3" t="str">
        <f t="shared" si="9"/>
        <v/>
      </c>
    </row>
    <row r="561" spans="1:1" x14ac:dyDescent="0.25">
      <c r="A561" s="3" t="str">
        <f t="shared" si="9"/>
        <v/>
      </c>
    </row>
    <row r="562" spans="1:1" x14ac:dyDescent="0.25">
      <c r="A562" s="3" t="str">
        <f t="shared" si="9"/>
        <v/>
      </c>
    </row>
    <row r="563" spans="1:1" x14ac:dyDescent="0.25">
      <c r="A563" s="3" t="str">
        <f t="shared" si="9"/>
        <v/>
      </c>
    </row>
    <row r="564" spans="1:1" x14ac:dyDescent="0.25">
      <c r="A564" s="3" t="str">
        <f t="shared" si="9"/>
        <v/>
      </c>
    </row>
    <row r="565" spans="1:1" x14ac:dyDescent="0.25">
      <c r="A565" s="3" t="str">
        <f t="shared" si="9"/>
        <v/>
      </c>
    </row>
    <row r="566" spans="1:1" x14ac:dyDescent="0.25">
      <c r="A566" s="3" t="str">
        <f t="shared" si="9"/>
        <v/>
      </c>
    </row>
    <row r="567" spans="1:1" x14ac:dyDescent="0.25">
      <c r="A567" s="3" t="str">
        <f t="shared" si="9"/>
        <v/>
      </c>
    </row>
    <row r="568" spans="1:1" x14ac:dyDescent="0.25">
      <c r="A568" s="3" t="str">
        <f t="shared" si="9"/>
        <v/>
      </c>
    </row>
    <row r="569" spans="1:1" x14ac:dyDescent="0.25">
      <c r="A569" s="3" t="str">
        <f t="shared" si="9"/>
        <v/>
      </c>
    </row>
    <row r="570" spans="1:1" x14ac:dyDescent="0.25">
      <c r="A570" s="3" t="str">
        <f t="shared" si="9"/>
        <v/>
      </c>
    </row>
    <row r="571" spans="1:1" x14ac:dyDescent="0.25">
      <c r="A571" s="3" t="str">
        <f t="shared" si="9"/>
        <v/>
      </c>
    </row>
    <row r="572" spans="1:1" x14ac:dyDescent="0.25">
      <c r="A572" s="3" t="str">
        <f t="shared" si="9"/>
        <v/>
      </c>
    </row>
    <row r="573" spans="1:1" x14ac:dyDescent="0.25">
      <c r="A573" s="3" t="str">
        <f t="shared" si="9"/>
        <v/>
      </c>
    </row>
    <row r="574" spans="1:1" x14ac:dyDescent="0.25">
      <c r="A574" s="3" t="str">
        <f t="shared" si="9"/>
        <v/>
      </c>
    </row>
    <row r="575" spans="1:1" x14ac:dyDescent="0.25">
      <c r="A575" s="3" t="str">
        <f t="shared" si="9"/>
        <v/>
      </c>
    </row>
    <row r="576" spans="1:1" x14ac:dyDescent="0.25">
      <c r="A576" s="3" t="str">
        <f t="shared" si="9"/>
        <v/>
      </c>
    </row>
    <row r="577" spans="1:1" x14ac:dyDescent="0.25">
      <c r="A577" s="3" t="str">
        <f t="shared" si="9"/>
        <v/>
      </c>
    </row>
    <row r="578" spans="1:1" x14ac:dyDescent="0.25">
      <c r="A578" s="3" t="str">
        <f t="shared" si="9"/>
        <v/>
      </c>
    </row>
    <row r="579" spans="1:1" x14ac:dyDescent="0.25">
      <c r="A579" s="3" t="str">
        <f t="shared" si="9"/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ref="A585:A648" si="10">IF(B585&lt;&gt; "",ROW(B585) - 8,"")</f>
        <v/>
      </c>
    </row>
    <row r="586" spans="1:1" x14ac:dyDescent="0.25">
      <c r="A586" s="3" t="str">
        <f t="shared" si="10"/>
        <v/>
      </c>
    </row>
    <row r="587" spans="1:1" x14ac:dyDescent="0.25">
      <c r="A587" s="3" t="str">
        <f t="shared" si="10"/>
        <v/>
      </c>
    </row>
    <row r="588" spans="1:1" x14ac:dyDescent="0.25">
      <c r="A588" s="3" t="str">
        <f t="shared" si="10"/>
        <v/>
      </c>
    </row>
    <row r="589" spans="1:1" x14ac:dyDescent="0.25">
      <c r="A589" s="3" t="str">
        <f t="shared" si="10"/>
        <v/>
      </c>
    </row>
    <row r="590" spans="1:1" x14ac:dyDescent="0.25">
      <c r="A590" s="3" t="str">
        <f t="shared" si="10"/>
        <v/>
      </c>
    </row>
    <row r="591" spans="1:1" x14ac:dyDescent="0.25">
      <c r="A591" s="3" t="str">
        <f t="shared" si="10"/>
        <v/>
      </c>
    </row>
    <row r="592" spans="1:1" x14ac:dyDescent="0.25">
      <c r="A592" s="3" t="str">
        <f t="shared" si="10"/>
        <v/>
      </c>
    </row>
    <row r="593" spans="1:1" x14ac:dyDescent="0.25">
      <c r="A593" s="3" t="str">
        <f t="shared" si="10"/>
        <v/>
      </c>
    </row>
    <row r="594" spans="1:1" x14ac:dyDescent="0.25">
      <c r="A594" s="3" t="str">
        <f t="shared" si="10"/>
        <v/>
      </c>
    </row>
    <row r="595" spans="1:1" x14ac:dyDescent="0.25">
      <c r="A595" s="3" t="str">
        <f t="shared" si="10"/>
        <v/>
      </c>
    </row>
    <row r="596" spans="1:1" x14ac:dyDescent="0.25">
      <c r="A596" s="3" t="str">
        <f t="shared" si="10"/>
        <v/>
      </c>
    </row>
    <row r="597" spans="1:1" x14ac:dyDescent="0.25">
      <c r="A597" s="3" t="str">
        <f t="shared" si="10"/>
        <v/>
      </c>
    </row>
    <row r="598" spans="1:1" x14ac:dyDescent="0.25">
      <c r="A598" s="3" t="str">
        <f t="shared" si="10"/>
        <v/>
      </c>
    </row>
    <row r="599" spans="1:1" x14ac:dyDescent="0.25">
      <c r="A599" s="3" t="str">
        <f t="shared" si="10"/>
        <v/>
      </c>
    </row>
    <row r="600" spans="1:1" x14ac:dyDescent="0.25">
      <c r="A600" s="3" t="str">
        <f t="shared" si="10"/>
        <v/>
      </c>
    </row>
    <row r="601" spans="1:1" x14ac:dyDescent="0.25">
      <c r="A601" s="3" t="str">
        <f t="shared" si="10"/>
        <v/>
      </c>
    </row>
    <row r="602" spans="1:1" x14ac:dyDescent="0.25">
      <c r="A602" s="3" t="str">
        <f t="shared" si="10"/>
        <v/>
      </c>
    </row>
    <row r="603" spans="1:1" x14ac:dyDescent="0.25">
      <c r="A603" s="3" t="str">
        <f t="shared" si="10"/>
        <v/>
      </c>
    </row>
    <row r="604" spans="1:1" x14ac:dyDescent="0.25">
      <c r="A604" s="3" t="str">
        <f t="shared" si="10"/>
        <v/>
      </c>
    </row>
    <row r="605" spans="1:1" x14ac:dyDescent="0.25">
      <c r="A605" s="3" t="str">
        <f t="shared" si="10"/>
        <v/>
      </c>
    </row>
    <row r="606" spans="1:1" x14ac:dyDescent="0.25">
      <c r="A606" s="3" t="str">
        <f t="shared" si="10"/>
        <v/>
      </c>
    </row>
    <row r="607" spans="1:1" x14ac:dyDescent="0.25">
      <c r="A607" s="3" t="str">
        <f t="shared" si="10"/>
        <v/>
      </c>
    </row>
    <row r="608" spans="1:1" x14ac:dyDescent="0.25">
      <c r="A608" s="3" t="str">
        <f t="shared" si="10"/>
        <v/>
      </c>
    </row>
    <row r="609" spans="1:1" x14ac:dyDescent="0.25">
      <c r="A609" s="3" t="str">
        <f t="shared" si="10"/>
        <v/>
      </c>
    </row>
    <row r="610" spans="1:1" x14ac:dyDescent="0.25">
      <c r="A610" s="3" t="str">
        <f t="shared" si="10"/>
        <v/>
      </c>
    </row>
    <row r="611" spans="1:1" x14ac:dyDescent="0.25">
      <c r="A611" s="3" t="str">
        <f t="shared" si="10"/>
        <v/>
      </c>
    </row>
    <row r="612" spans="1:1" x14ac:dyDescent="0.25">
      <c r="A612" s="3" t="str">
        <f t="shared" si="10"/>
        <v/>
      </c>
    </row>
    <row r="613" spans="1:1" x14ac:dyDescent="0.25">
      <c r="A613" s="3" t="str">
        <f t="shared" si="10"/>
        <v/>
      </c>
    </row>
    <row r="614" spans="1:1" x14ac:dyDescent="0.25">
      <c r="A614" s="3" t="str">
        <f t="shared" si="10"/>
        <v/>
      </c>
    </row>
    <row r="615" spans="1:1" x14ac:dyDescent="0.25">
      <c r="A615" s="3" t="str">
        <f t="shared" si="10"/>
        <v/>
      </c>
    </row>
    <row r="616" spans="1:1" x14ac:dyDescent="0.25">
      <c r="A616" s="3" t="str">
        <f t="shared" si="10"/>
        <v/>
      </c>
    </row>
    <row r="617" spans="1:1" x14ac:dyDescent="0.25">
      <c r="A617" s="3" t="str">
        <f t="shared" si="10"/>
        <v/>
      </c>
    </row>
    <row r="618" spans="1:1" x14ac:dyDescent="0.25">
      <c r="A618" s="3" t="str">
        <f t="shared" si="10"/>
        <v/>
      </c>
    </row>
    <row r="619" spans="1:1" x14ac:dyDescent="0.25">
      <c r="A619" s="3" t="str">
        <f t="shared" si="10"/>
        <v/>
      </c>
    </row>
    <row r="620" spans="1:1" x14ac:dyDescent="0.25">
      <c r="A620" s="3" t="str">
        <f t="shared" si="10"/>
        <v/>
      </c>
    </row>
    <row r="621" spans="1:1" x14ac:dyDescent="0.25">
      <c r="A621" s="3" t="str">
        <f t="shared" si="10"/>
        <v/>
      </c>
    </row>
    <row r="622" spans="1:1" x14ac:dyDescent="0.25">
      <c r="A622" s="3" t="str">
        <f t="shared" si="10"/>
        <v/>
      </c>
    </row>
    <row r="623" spans="1:1" x14ac:dyDescent="0.25">
      <c r="A623" s="3" t="str">
        <f t="shared" si="10"/>
        <v/>
      </c>
    </row>
    <row r="624" spans="1:1" x14ac:dyDescent="0.25">
      <c r="A624" s="3" t="str">
        <f t="shared" si="10"/>
        <v/>
      </c>
    </row>
    <row r="625" spans="1:1" x14ac:dyDescent="0.25">
      <c r="A625" s="3" t="str">
        <f t="shared" si="10"/>
        <v/>
      </c>
    </row>
    <row r="626" spans="1:1" x14ac:dyDescent="0.25">
      <c r="A626" s="3" t="str">
        <f t="shared" si="10"/>
        <v/>
      </c>
    </row>
    <row r="627" spans="1:1" x14ac:dyDescent="0.25">
      <c r="A627" s="3" t="str">
        <f t="shared" si="10"/>
        <v/>
      </c>
    </row>
    <row r="628" spans="1:1" x14ac:dyDescent="0.25">
      <c r="A628" s="3" t="str">
        <f t="shared" si="10"/>
        <v/>
      </c>
    </row>
    <row r="629" spans="1:1" x14ac:dyDescent="0.25">
      <c r="A629" s="3" t="str">
        <f t="shared" si="10"/>
        <v/>
      </c>
    </row>
    <row r="630" spans="1:1" x14ac:dyDescent="0.25">
      <c r="A630" s="3" t="str">
        <f t="shared" si="10"/>
        <v/>
      </c>
    </row>
    <row r="631" spans="1:1" x14ac:dyDescent="0.25">
      <c r="A631" s="3" t="str">
        <f t="shared" si="10"/>
        <v/>
      </c>
    </row>
    <row r="632" spans="1:1" x14ac:dyDescent="0.25">
      <c r="A632" s="3" t="str">
        <f t="shared" si="10"/>
        <v/>
      </c>
    </row>
    <row r="633" spans="1:1" x14ac:dyDescent="0.25">
      <c r="A633" s="3" t="str">
        <f t="shared" si="10"/>
        <v/>
      </c>
    </row>
    <row r="634" spans="1:1" x14ac:dyDescent="0.25">
      <c r="A634" s="3" t="str">
        <f t="shared" si="10"/>
        <v/>
      </c>
    </row>
    <row r="635" spans="1:1" x14ac:dyDescent="0.25">
      <c r="A635" s="3" t="str">
        <f t="shared" si="10"/>
        <v/>
      </c>
    </row>
    <row r="636" spans="1:1" x14ac:dyDescent="0.25">
      <c r="A636" s="3" t="str">
        <f t="shared" si="10"/>
        <v/>
      </c>
    </row>
    <row r="637" spans="1:1" x14ac:dyDescent="0.25">
      <c r="A637" s="3" t="str">
        <f t="shared" si="10"/>
        <v/>
      </c>
    </row>
    <row r="638" spans="1:1" x14ac:dyDescent="0.25">
      <c r="A638" s="3" t="str">
        <f t="shared" si="10"/>
        <v/>
      </c>
    </row>
    <row r="639" spans="1:1" x14ac:dyDescent="0.25">
      <c r="A639" s="3" t="str">
        <f t="shared" si="10"/>
        <v/>
      </c>
    </row>
    <row r="640" spans="1:1" x14ac:dyDescent="0.25">
      <c r="A640" s="3" t="str">
        <f t="shared" si="10"/>
        <v/>
      </c>
    </row>
    <row r="641" spans="1:1" x14ac:dyDescent="0.25">
      <c r="A641" s="3" t="str">
        <f t="shared" si="10"/>
        <v/>
      </c>
    </row>
    <row r="642" spans="1:1" x14ac:dyDescent="0.25">
      <c r="A642" s="3" t="str">
        <f t="shared" si="10"/>
        <v/>
      </c>
    </row>
    <row r="643" spans="1:1" x14ac:dyDescent="0.25">
      <c r="A643" s="3" t="str">
        <f t="shared" si="10"/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ref="A649:A712" si="11">IF(B649&lt;&gt; "",ROW(B649) - 8,"")</f>
        <v/>
      </c>
    </row>
    <row r="650" spans="1:1" x14ac:dyDescent="0.25">
      <c r="A650" s="3" t="str">
        <f t="shared" si="11"/>
        <v/>
      </c>
    </row>
    <row r="651" spans="1:1" x14ac:dyDescent="0.25">
      <c r="A651" s="3" t="str">
        <f t="shared" si="11"/>
        <v/>
      </c>
    </row>
    <row r="652" spans="1:1" x14ac:dyDescent="0.25">
      <c r="A652" s="3" t="str">
        <f t="shared" si="11"/>
        <v/>
      </c>
    </row>
    <row r="653" spans="1:1" x14ac:dyDescent="0.25">
      <c r="A653" s="3" t="str">
        <f t="shared" si="11"/>
        <v/>
      </c>
    </row>
    <row r="654" spans="1:1" x14ac:dyDescent="0.25">
      <c r="A654" s="3" t="str">
        <f t="shared" si="11"/>
        <v/>
      </c>
    </row>
    <row r="655" spans="1:1" x14ac:dyDescent="0.25">
      <c r="A655" s="3" t="str">
        <f t="shared" si="11"/>
        <v/>
      </c>
    </row>
    <row r="656" spans="1:1" x14ac:dyDescent="0.25">
      <c r="A656" s="3" t="str">
        <f t="shared" si="11"/>
        <v/>
      </c>
    </row>
    <row r="657" spans="1:1" x14ac:dyDescent="0.25">
      <c r="A657" s="3" t="str">
        <f t="shared" si="11"/>
        <v/>
      </c>
    </row>
    <row r="658" spans="1:1" x14ac:dyDescent="0.25">
      <c r="A658" s="3" t="str">
        <f t="shared" si="11"/>
        <v/>
      </c>
    </row>
    <row r="659" spans="1:1" x14ac:dyDescent="0.25">
      <c r="A659" s="3" t="str">
        <f t="shared" si="11"/>
        <v/>
      </c>
    </row>
    <row r="660" spans="1:1" x14ac:dyDescent="0.25">
      <c r="A660" s="3" t="str">
        <f t="shared" si="11"/>
        <v/>
      </c>
    </row>
    <row r="661" spans="1:1" x14ac:dyDescent="0.25">
      <c r="A661" s="3" t="str">
        <f t="shared" si="11"/>
        <v/>
      </c>
    </row>
    <row r="662" spans="1:1" x14ac:dyDescent="0.25">
      <c r="A662" s="3" t="str">
        <f t="shared" si="11"/>
        <v/>
      </c>
    </row>
    <row r="663" spans="1:1" x14ac:dyDescent="0.25">
      <c r="A663" s="3" t="str">
        <f t="shared" si="11"/>
        <v/>
      </c>
    </row>
    <row r="664" spans="1:1" x14ac:dyDescent="0.25">
      <c r="A664" s="3" t="str">
        <f t="shared" si="11"/>
        <v/>
      </c>
    </row>
    <row r="665" spans="1:1" x14ac:dyDescent="0.25">
      <c r="A665" s="3" t="str">
        <f t="shared" si="11"/>
        <v/>
      </c>
    </row>
    <row r="666" spans="1:1" x14ac:dyDescent="0.25">
      <c r="A666" s="3" t="str">
        <f t="shared" si="11"/>
        <v/>
      </c>
    </row>
    <row r="667" spans="1:1" x14ac:dyDescent="0.25">
      <c r="A667" s="3" t="str">
        <f t="shared" si="11"/>
        <v/>
      </c>
    </row>
    <row r="668" spans="1:1" x14ac:dyDescent="0.25">
      <c r="A668" s="3" t="str">
        <f t="shared" si="11"/>
        <v/>
      </c>
    </row>
    <row r="669" spans="1:1" x14ac:dyDescent="0.25">
      <c r="A669" s="3" t="str">
        <f t="shared" si="11"/>
        <v/>
      </c>
    </row>
    <row r="670" spans="1:1" x14ac:dyDescent="0.25">
      <c r="A670" s="3" t="str">
        <f t="shared" si="11"/>
        <v/>
      </c>
    </row>
    <row r="671" spans="1:1" x14ac:dyDescent="0.25">
      <c r="A671" s="3" t="str">
        <f t="shared" si="11"/>
        <v/>
      </c>
    </row>
    <row r="672" spans="1:1" x14ac:dyDescent="0.25">
      <c r="A672" s="3" t="str">
        <f t="shared" si="11"/>
        <v/>
      </c>
    </row>
    <row r="673" spans="1:1" x14ac:dyDescent="0.25">
      <c r="A673" s="3" t="str">
        <f t="shared" si="11"/>
        <v/>
      </c>
    </row>
    <row r="674" spans="1:1" x14ac:dyDescent="0.25">
      <c r="A674" s="3" t="str">
        <f t="shared" si="11"/>
        <v/>
      </c>
    </row>
    <row r="675" spans="1:1" x14ac:dyDescent="0.25">
      <c r="A675" s="3" t="str">
        <f t="shared" si="11"/>
        <v/>
      </c>
    </row>
    <row r="676" spans="1:1" x14ac:dyDescent="0.25">
      <c r="A676" s="3" t="str">
        <f t="shared" si="11"/>
        <v/>
      </c>
    </row>
    <row r="677" spans="1:1" x14ac:dyDescent="0.25">
      <c r="A677" s="3" t="str">
        <f t="shared" si="11"/>
        <v/>
      </c>
    </row>
    <row r="678" spans="1:1" x14ac:dyDescent="0.25">
      <c r="A678" s="3" t="str">
        <f t="shared" si="11"/>
        <v/>
      </c>
    </row>
    <row r="679" spans="1:1" x14ac:dyDescent="0.25">
      <c r="A679" s="3" t="str">
        <f t="shared" si="11"/>
        <v/>
      </c>
    </row>
    <row r="680" spans="1:1" x14ac:dyDescent="0.25">
      <c r="A680" s="3" t="str">
        <f t="shared" si="11"/>
        <v/>
      </c>
    </row>
    <row r="681" spans="1:1" x14ac:dyDescent="0.25">
      <c r="A681" s="3" t="str">
        <f t="shared" si="11"/>
        <v/>
      </c>
    </row>
    <row r="682" spans="1:1" x14ac:dyDescent="0.25">
      <c r="A682" s="3" t="str">
        <f t="shared" si="11"/>
        <v/>
      </c>
    </row>
    <row r="683" spans="1:1" x14ac:dyDescent="0.25">
      <c r="A683" s="3" t="str">
        <f t="shared" si="11"/>
        <v/>
      </c>
    </row>
    <row r="684" spans="1:1" x14ac:dyDescent="0.25">
      <c r="A684" s="3" t="str">
        <f t="shared" si="11"/>
        <v/>
      </c>
    </row>
    <row r="685" spans="1:1" x14ac:dyDescent="0.25">
      <c r="A685" s="3" t="str">
        <f t="shared" si="11"/>
        <v/>
      </c>
    </row>
    <row r="686" spans="1:1" x14ac:dyDescent="0.25">
      <c r="A686" s="3" t="str">
        <f t="shared" si="11"/>
        <v/>
      </c>
    </row>
    <row r="687" spans="1:1" x14ac:dyDescent="0.25">
      <c r="A687" s="3" t="str">
        <f t="shared" si="11"/>
        <v/>
      </c>
    </row>
    <row r="688" spans="1:1" x14ac:dyDescent="0.25">
      <c r="A688" s="3" t="str">
        <f t="shared" si="11"/>
        <v/>
      </c>
    </row>
    <row r="689" spans="1:1" x14ac:dyDescent="0.25">
      <c r="A689" s="3" t="str">
        <f t="shared" si="11"/>
        <v/>
      </c>
    </row>
    <row r="690" spans="1:1" x14ac:dyDescent="0.25">
      <c r="A690" s="3" t="str">
        <f t="shared" si="11"/>
        <v/>
      </c>
    </row>
    <row r="691" spans="1:1" x14ac:dyDescent="0.25">
      <c r="A691" s="3" t="str">
        <f t="shared" si="11"/>
        <v/>
      </c>
    </row>
    <row r="692" spans="1:1" x14ac:dyDescent="0.25">
      <c r="A692" s="3" t="str">
        <f t="shared" si="11"/>
        <v/>
      </c>
    </row>
    <row r="693" spans="1:1" x14ac:dyDescent="0.25">
      <c r="A693" s="3" t="str">
        <f t="shared" si="11"/>
        <v/>
      </c>
    </row>
    <row r="694" spans="1:1" x14ac:dyDescent="0.25">
      <c r="A694" s="3" t="str">
        <f t="shared" si="11"/>
        <v/>
      </c>
    </row>
    <row r="695" spans="1:1" x14ac:dyDescent="0.25">
      <c r="A695" s="3" t="str">
        <f t="shared" si="11"/>
        <v/>
      </c>
    </row>
    <row r="696" spans="1:1" x14ac:dyDescent="0.25">
      <c r="A696" s="3" t="str">
        <f t="shared" si="11"/>
        <v/>
      </c>
    </row>
    <row r="697" spans="1:1" x14ac:dyDescent="0.25">
      <c r="A697" s="3" t="str">
        <f t="shared" si="11"/>
        <v/>
      </c>
    </row>
    <row r="698" spans="1:1" x14ac:dyDescent="0.25">
      <c r="A698" s="3" t="str">
        <f t="shared" si="11"/>
        <v/>
      </c>
    </row>
    <row r="699" spans="1:1" x14ac:dyDescent="0.25">
      <c r="A699" s="3" t="str">
        <f t="shared" si="11"/>
        <v/>
      </c>
    </row>
    <row r="700" spans="1:1" x14ac:dyDescent="0.25">
      <c r="A700" s="3" t="str">
        <f t="shared" si="11"/>
        <v/>
      </c>
    </row>
    <row r="701" spans="1:1" x14ac:dyDescent="0.25">
      <c r="A701" s="3" t="str">
        <f t="shared" si="11"/>
        <v/>
      </c>
    </row>
    <row r="702" spans="1:1" x14ac:dyDescent="0.25">
      <c r="A702" s="3" t="str">
        <f t="shared" si="11"/>
        <v/>
      </c>
    </row>
    <row r="703" spans="1:1" x14ac:dyDescent="0.25">
      <c r="A703" s="3" t="str">
        <f t="shared" si="11"/>
        <v/>
      </c>
    </row>
    <row r="704" spans="1:1" x14ac:dyDescent="0.25">
      <c r="A704" s="3" t="str">
        <f t="shared" si="11"/>
        <v/>
      </c>
    </row>
    <row r="705" spans="1:1" x14ac:dyDescent="0.25">
      <c r="A705" s="3" t="str">
        <f t="shared" si="11"/>
        <v/>
      </c>
    </row>
    <row r="706" spans="1:1" x14ac:dyDescent="0.25">
      <c r="A706" s="3" t="str">
        <f t="shared" si="11"/>
        <v/>
      </c>
    </row>
    <row r="707" spans="1:1" x14ac:dyDescent="0.25">
      <c r="A707" s="3" t="str">
        <f t="shared" si="11"/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ref="A713:A776" si="12">IF(B713&lt;&gt; "",ROW(B713) - 8,"")</f>
        <v/>
      </c>
    </row>
    <row r="714" spans="1:1" x14ac:dyDescent="0.25">
      <c r="A714" s="3" t="str">
        <f t="shared" si="12"/>
        <v/>
      </c>
    </row>
    <row r="715" spans="1:1" x14ac:dyDescent="0.25">
      <c r="A715" s="3" t="str">
        <f t="shared" si="12"/>
        <v/>
      </c>
    </row>
    <row r="716" spans="1:1" x14ac:dyDescent="0.25">
      <c r="A716" s="3" t="str">
        <f t="shared" si="12"/>
        <v/>
      </c>
    </row>
    <row r="717" spans="1:1" x14ac:dyDescent="0.25">
      <c r="A717" s="3" t="str">
        <f t="shared" si="12"/>
        <v/>
      </c>
    </row>
    <row r="718" spans="1:1" x14ac:dyDescent="0.25">
      <c r="A718" s="3" t="str">
        <f t="shared" si="12"/>
        <v/>
      </c>
    </row>
    <row r="719" spans="1:1" x14ac:dyDescent="0.25">
      <c r="A719" s="3" t="str">
        <f t="shared" si="12"/>
        <v/>
      </c>
    </row>
    <row r="720" spans="1:1" x14ac:dyDescent="0.25">
      <c r="A720" s="3" t="str">
        <f t="shared" si="12"/>
        <v/>
      </c>
    </row>
    <row r="721" spans="1:1" x14ac:dyDescent="0.25">
      <c r="A721" s="3" t="str">
        <f t="shared" si="12"/>
        <v/>
      </c>
    </row>
    <row r="722" spans="1:1" x14ac:dyDescent="0.25">
      <c r="A722" s="3" t="str">
        <f t="shared" si="12"/>
        <v/>
      </c>
    </row>
    <row r="723" spans="1:1" x14ac:dyDescent="0.25">
      <c r="A723" s="3" t="str">
        <f t="shared" si="12"/>
        <v/>
      </c>
    </row>
    <row r="724" spans="1:1" x14ac:dyDescent="0.25">
      <c r="A724" s="3" t="str">
        <f t="shared" si="12"/>
        <v/>
      </c>
    </row>
    <row r="725" spans="1:1" x14ac:dyDescent="0.25">
      <c r="A725" s="3" t="str">
        <f t="shared" si="12"/>
        <v/>
      </c>
    </row>
    <row r="726" spans="1:1" x14ac:dyDescent="0.25">
      <c r="A726" s="3" t="str">
        <f t="shared" si="12"/>
        <v/>
      </c>
    </row>
    <row r="727" spans="1:1" x14ac:dyDescent="0.25">
      <c r="A727" s="3" t="str">
        <f t="shared" si="12"/>
        <v/>
      </c>
    </row>
    <row r="728" spans="1:1" x14ac:dyDescent="0.25">
      <c r="A728" s="3" t="str">
        <f t="shared" si="12"/>
        <v/>
      </c>
    </row>
    <row r="729" spans="1:1" x14ac:dyDescent="0.25">
      <c r="A729" s="3" t="str">
        <f t="shared" si="12"/>
        <v/>
      </c>
    </row>
    <row r="730" spans="1:1" x14ac:dyDescent="0.25">
      <c r="A730" s="3" t="str">
        <f t="shared" si="12"/>
        <v/>
      </c>
    </row>
    <row r="731" spans="1:1" x14ac:dyDescent="0.25">
      <c r="A731" s="3" t="str">
        <f t="shared" si="12"/>
        <v/>
      </c>
    </row>
    <row r="732" spans="1:1" x14ac:dyDescent="0.25">
      <c r="A732" s="3" t="str">
        <f t="shared" si="12"/>
        <v/>
      </c>
    </row>
    <row r="733" spans="1:1" x14ac:dyDescent="0.25">
      <c r="A733" s="3" t="str">
        <f t="shared" si="12"/>
        <v/>
      </c>
    </row>
    <row r="734" spans="1:1" x14ac:dyDescent="0.25">
      <c r="A734" s="3" t="str">
        <f t="shared" si="12"/>
        <v/>
      </c>
    </row>
    <row r="735" spans="1:1" x14ac:dyDescent="0.25">
      <c r="A735" s="3" t="str">
        <f t="shared" si="12"/>
        <v/>
      </c>
    </row>
    <row r="736" spans="1:1" x14ac:dyDescent="0.25">
      <c r="A736" s="3" t="str">
        <f t="shared" si="12"/>
        <v/>
      </c>
    </row>
    <row r="737" spans="1:1" x14ac:dyDescent="0.25">
      <c r="A737" s="3" t="str">
        <f t="shared" si="12"/>
        <v/>
      </c>
    </row>
    <row r="738" spans="1:1" x14ac:dyDescent="0.25">
      <c r="A738" s="3" t="str">
        <f t="shared" si="12"/>
        <v/>
      </c>
    </row>
    <row r="739" spans="1:1" x14ac:dyDescent="0.25">
      <c r="A739" s="3" t="str">
        <f t="shared" si="12"/>
        <v/>
      </c>
    </row>
    <row r="740" spans="1:1" x14ac:dyDescent="0.25">
      <c r="A740" s="3" t="str">
        <f t="shared" si="12"/>
        <v/>
      </c>
    </row>
    <row r="741" spans="1:1" x14ac:dyDescent="0.25">
      <c r="A741" s="3" t="str">
        <f t="shared" si="12"/>
        <v/>
      </c>
    </row>
    <row r="742" spans="1:1" x14ac:dyDescent="0.25">
      <c r="A742" s="3" t="str">
        <f t="shared" si="12"/>
        <v/>
      </c>
    </row>
    <row r="743" spans="1:1" x14ac:dyDescent="0.25">
      <c r="A743" s="3" t="str">
        <f t="shared" si="12"/>
        <v/>
      </c>
    </row>
    <row r="744" spans="1:1" x14ac:dyDescent="0.25">
      <c r="A744" s="3" t="str">
        <f t="shared" si="12"/>
        <v/>
      </c>
    </row>
    <row r="745" spans="1:1" x14ac:dyDescent="0.25">
      <c r="A745" s="3" t="str">
        <f t="shared" si="12"/>
        <v/>
      </c>
    </row>
    <row r="746" spans="1:1" x14ac:dyDescent="0.25">
      <c r="A746" s="3" t="str">
        <f t="shared" si="12"/>
        <v/>
      </c>
    </row>
    <row r="747" spans="1:1" x14ac:dyDescent="0.25">
      <c r="A747" s="3" t="str">
        <f t="shared" si="12"/>
        <v/>
      </c>
    </row>
    <row r="748" spans="1:1" x14ac:dyDescent="0.25">
      <c r="A748" s="3" t="str">
        <f t="shared" si="12"/>
        <v/>
      </c>
    </row>
    <row r="749" spans="1:1" x14ac:dyDescent="0.25">
      <c r="A749" s="3" t="str">
        <f t="shared" si="12"/>
        <v/>
      </c>
    </row>
    <row r="750" spans="1:1" x14ac:dyDescent="0.25">
      <c r="A750" s="3" t="str">
        <f t="shared" si="12"/>
        <v/>
      </c>
    </row>
    <row r="751" spans="1:1" x14ac:dyDescent="0.25">
      <c r="A751" s="3" t="str">
        <f t="shared" si="12"/>
        <v/>
      </c>
    </row>
    <row r="752" spans="1:1" x14ac:dyDescent="0.25">
      <c r="A752" s="3" t="str">
        <f t="shared" si="12"/>
        <v/>
      </c>
    </row>
    <row r="753" spans="1:1" x14ac:dyDescent="0.25">
      <c r="A753" s="3" t="str">
        <f t="shared" si="12"/>
        <v/>
      </c>
    </row>
    <row r="754" spans="1:1" x14ac:dyDescent="0.25">
      <c r="A754" s="3" t="str">
        <f t="shared" si="12"/>
        <v/>
      </c>
    </row>
    <row r="755" spans="1:1" x14ac:dyDescent="0.25">
      <c r="A755" s="3" t="str">
        <f t="shared" si="12"/>
        <v/>
      </c>
    </row>
    <row r="756" spans="1:1" x14ac:dyDescent="0.25">
      <c r="A756" s="3" t="str">
        <f t="shared" si="12"/>
        <v/>
      </c>
    </row>
    <row r="757" spans="1:1" x14ac:dyDescent="0.25">
      <c r="A757" s="3" t="str">
        <f t="shared" si="12"/>
        <v/>
      </c>
    </row>
    <row r="758" spans="1:1" x14ac:dyDescent="0.25">
      <c r="A758" s="3" t="str">
        <f t="shared" si="12"/>
        <v/>
      </c>
    </row>
    <row r="759" spans="1:1" x14ac:dyDescent="0.25">
      <c r="A759" s="3" t="str">
        <f t="shared" si="12"/>
        <v/>
      </c>
    </row>
    <row r="760" spans="1:1" x14ac:dyDescent="0.25">
      <c r="A760" s="3" t="str">
        <f t="shared" si="12"/>
        <v/>
      </c>
    </row>
    <row r="761" spans="1:1" x14ac:dyDescent="0.25">
      <c r="A761" s="3" t="str">
        <f t="shared" si="12"/>
        <v/>
      </c>
    </row>
    <row r="762" spans="1:1" x14ac:dyDescent="0.25">
      <c r="A762" s="3" t="str">
        <f t="shared" si="12"/>
        <v/>
      </c>
    </row>
    <row r="763" spans="1:1" x14ac:dyDescent="0.25">
      <c r="A763" s="3" t="str">
        <f t="shared" si="12"/>
        <v/>
      </c>
    </row>
    <row r="764" spans="1:1" x14ac:dyDescent="0.25">
      <c r="A764" s="3" t="str">
        <f t="shared" si="12"/>
        <v/>
      </c>
    </row>
    <row r="765" spans="1:1" x14ac:dyDescent="0.25">
      <c r="A765" s="3" t="str">
        <f t="shared" si="12"/>
        <v/>
      </c>
    </row>
    <row r="766" spans="1:1" x14ac:dyDescent="0.25">
      <c r="A766" s="3" t="str">
        <f t="shared" si="12"/>
        <v/>
      </c>
    </row>
    <row r="767" spans="1:1" x14ac:dyDescent="0.25">
      <c r="A767" s="3" t="str">
        <f t="shared" si="12"/>
        <v/>
      </c>
    </row>
    <row r="768" spans="1:1" x14ac:dyDescent="0.25">
      <c r="A768" s="3" t="str">
        <f t="shared" si="12"/>
        <v/>
      </c>
    </row>
    <row r="769" spans="1:1" x14ac:dyDescent="0.25">
      <c r="A769" s="3" t="str">
        <f t="shared" si="12"/>
        <v/>
      </c>
    </row>
    <row r="770" spans="1:1" x14ac:dyDescent="0.25">
      <c r="A770" s="3" t="str">
        <f t="shared" si="12"/>
        <v/>
      </c>
    </row>
    <row r="771" spans="1:1" x14ac:dyDescent="0.25">
      <c r="A771" s="3" t="str">
        <f t="shared" si="12"/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ref="A777:A840" si="13">IF(B777&lt;&gt; "",ROW(B777) - 8,"")</f>
        <v/>
      </c>
    </row>
    <row r="778" spans="1:1" x14ac:dyDescent="0.25">
      <c r="A778" s="3" t="str">
        <f t="shared" si="13"/>
        <v/>
      </c>
    </row>
    <row r="779" spans="1:1" x14ac:dyDescent="0.25">
      <c r="A779" s="3" t="str">
        <f t="shared" si="13"/>
        <v/>
      </c>
    </row>
    <row r="780" spans="1:1" x14ac:dyDescent="0.25">
      <c r="A780" s="3" t="str">
        <f t="shared" si="13"/>
        <v/>
      </c>
    </row>
    <row r="781" spans="1:1" x14ac:dyDescent="0.25">
      <c r="A781" s="3" t="str">
        <f t="shared" si="13"/>
        <v/>
      </c>
    </row>
    <row r="782" spans="1:1" x14ac:dyDescent="0.25">
      <c r="A782" s="3" t="str">
        <f t="shared" si="13"/>
        <v/>
      </c>
    </row>
    <row r="783" spans="1:1" x14ac:dyDescent="0.25">
      <c r="A783" s="3" t="str">
        <f t="shared" si="13"/>
        <v/>
      </c>
    </row>
    <row r="784" spans="1:1" x14ac:dyDescent="0.25">
      <c r="A784" s="3" t="str">
        <f t="shared" si="13"/>
        <v/>
      </c>
    </row>
    <row r="785" spans="1:1" x14ac:dyDescent="0.25">
      <c r="A785" s="3" t="str">
        <f t="shared" si="13"/>
        <v/>
      </c>
    </row>
    <row r="786" spans="1:1" x14ac:dyDescent="0.25">
      <c r="A786" s="3" t="str">
        <f t="shared" si="13"/>
        <v/>
      </c>
    </row>
    <row r="787" spans="1:1" x14ac:dyDescent="0.25">
      <c r="A787" s="3" t="str">
        <f t="shared" si="13"/>
        <v/>
      </c>
    </row>
    <row r="788" spans="1:1" x14ac:dyDescent="0.25">
      <c r="A788" s="3" t="str">
        <f t="shared" si="13"/>
        <v/>
      </c>
    </row>
    <row r="789" spans="1:1" x14ac:dyDescent="0.25">
      <c r="A789" s="3" t="str">
        <f t="shared" si="13"/>
        <v/>
      </c>
    </row>
    <row r="790" spans="1:1" x14ac:dyDescent="0.25">
      <c r="A790" s="3" t="str">
        <f t="shared" si="13"/>
        <v/>
      </c>
    </row>
    <row r="791" spans="1:1" x14ac:dyDescent="0.25">
      <c r="A791" s="3" t="str">
        <f t="shared" si="13"/>
        <v/>
      </c>
    </row>
    <row r="792" spans="1:1" x14ac:dyDescent="0.25">
      <c r="A792" s="3" t="str">
        <f t="shared" si="13"/>
        <v/>
      </c>
    </row>
    <row r="793" spans="1:1" x14ac:dyDescent="0.25">
      <c r="A793" s="3" t="str">
        <f t="shared" si="13"/>
        <v/>
      </c>
    </row>
    <row r="794" spans="1:1" x14ac:dyDescent="0.25">
      <c r="A794" s="3" t="str">
        <f t="shared" si="13"/>
        <v/>
      </c>
    </row>
    <row r="795" spans="1:1" x14ac:dyDescent="0.25">
      <c r="A795" s="3" t="str">
        <f t="shared" si="13"/>
        <v/>
      </c>
    </row>
    <row r="796" spans="1:1" x14ac:dyDescent="0.25">
      <c r="A796" s="3" t="str">
        <f t="shared" si="13"/>
        <v/>
      </c>
    </row>
    <row r="797" spans="1:1" x14ac:dyDescent="0.25">
      <c r="A797" s="3" t="str">
        <f t="shared" si="13"/>
        <v/>
      </c>
    </row>
    <row r="798" spans="1:1" x14ac:dyDescent="0.25">
      <c r="A798" s="3" t="str">
        <f t="shared" si="13"/>
        <v/>
      </c>
    </row>
    <row r="799" spans="1:1" x14ac:dyDescent="0.25">
      <c r="A799" s="3" t="str">
        <f t="shared" si="13"/>
        <v/>
      </c>
    </row>
    <row r="800" spans="1:1" x14ac:dyDescent="0.25">
      <c r="A800" s="3" t="str">
        <f t="shared" si="13"/>
        <v/>
      </c>
    </row>
    <row r="801" spans="1:1" x14ac:dyDescent="0.25">
      <c r="A801" s="3" t="str">
        <f t="shared" si="13"/>
        <v/>
      </c>
    </row>
    <row r="802" spans="1:1" x14ac:dyDescent="0.25">
      <c r="A802" s="3" t="str">
        <f t="shared" si="13"/>
        <v/>
      </c>
    </row>
    <row r="803" spans="1:1" x14ac:dyDescent="0.25">
      <c r="A803" s="3" t="str">
        <f t="shared" si="13"/>
        <v/>
      </c>
    </row>
    <row r="804" spans="1:1" x14ac:dyDescent="0.25">
      <c r="A804" s="3" t="str">
        <f t="shared" si="13"/>
        <v/>
      </c>
    </row>
    <row r="805" spans="1:1" x14ac:dyDescent="0.25">
      <c r="A805" s="3" t="str">
        <f t="shared" si="13"/>
        <v/>
      </c>
    </row>
    <row r="806" spans="1:1" x14ac:dyDescent="0.25">
      <c r="A806" s="3" t="str">
        <f t="shared" si="13"/>
        <v/>
      </c>
    </row>
    <row r="807" spans="1:1" x14ac:dyDescent="0.25">
      <c r="A807" s="3" t="str">
        <f t="shared" si="13"/>
        <v/>
      </c>
    </row>
    <row r="808" spans="1:1" x14ac:dyDescent="0.25">
      <c r="A808" s="3" t="str">
        <f t="shared" si="13"/>
        <v/>
      </c>
    </row>
    <row r="809" spans="1:1" x14ac:dyDescent="0.25">
      <c r="A809" s="3" t="str">
        <f t="shared" si="13"/>
        <v/>
      </c>
    </row>
    <row r="810" spans="1:1" x14ac:dyDescent="0.25">
      <c r="A810" s="3" t="str">
        <f t="shared" si="13"/>
        <v/>
      </c>
    </row>
    <row r="811" spans="1:1" x14ac:dyDescent="0.25">
      <c r="A811" s="3" t="str">
        <f t="shared" si="13"/>
        <v/>
      </c>
    </row>
    <row r="812" spans="1:1" x14ac:dyDescent="0.25">
      <c r="A812" s="3" t="str">
        <f t="shared" si="13"/>
        <v/>
      </c>
    </row>
    <row r="813" spans="1:1" x14ac:dyDescent="0.25">
      <c r="A813" s="3" t="str">
        <f t="shared" si="13"/>
        <v/>
      </c>
    </row>
    <row r="814" spans="1:1" x14ac:dyDescent="0.25">
      <c r="A814" s="3" t="str">
        <f t="shared" si="13"/>
        <v/>
      </c>
    </row>
    <row r="815" spans="1:1" x14ac:dyDescent="0.25">
      <c r="A815" s="3" t="str">
        <f t="shared" si="13"/>
        <v/>
      </c>
    </row>
    <row r="816" spans="1:1" x14ac:dyDescent="0.25">
      <c r="A816" s="3" t="str">
        <f t="shared" si="13"/>
        <v/>
      </c>
    </row>
    <row r="817" spans="1:1" x14ac:dyDescent="0.25">
      <c r="A817" s="3" t="str">
        <f t="shared" si="13"/>
        <v/>
      </c>
    </row>
    <row r="818" spans="1:1" x14ac:dyDescent="0.25">
      <c r="A818" s="3" t="str">
        <f t="shared" si="13"/>
        <v/>
      </c>
    </row>
    <row r="819" spans="1:1" x14ac:dyDescent="0.25">
      <c r="A819" s="3" t="str">
        <f t="shared" si="13"/>
        <v/>
      </c>
    </row>
    <row r="820" spans="1:1" x14ac:dyDescent="0.25">
      <c r="A820" s="3" t="str">
        <f t="shared" si="13"/>
        <v/>
      </c>
    </row>
    <row r="821" spans="1:1" x14ac:dyDescent="0.25">
      <c r="A821" s="3" t="str">
        <f t="shared" si="13"/>
        <v/>
      </c>
    </row>
    <row r="822" spans="1:1" x14ac:dyDescent="0.25">
      <c r="A822" s="3" t="str">
        <f t="shared" si="13"/>
        <v/>
      </c>
    </row>
    <row r="823" spans="1:1" x14ac:dyDescent="0.25">
      <c r="A823" s="3" t="str">
        <f t="shared" si="13"/>
        <v/>
      </c>
    </row>
    <row r="824" spans="1:1" x14ac:dyDescent="0.25">
      <c r="A824" s="3" t="str">
        <f t="shared" si="13"/>
        <v/>
      </c>
    </row>
    <row r="825" spans="1:1" x14ac:dyDescent="0.25">
      <c r="A825" s="3" t="str">
        <f t="shared" si="13"/>
        <v/>
      </c>
    </row>
    <row r="826" spans="1:1" x14ac:dyDescent="0.25">
      <c r="A826" s="3" t="str">
        <f t="shared" si="13"/>
        <v/>
      </c>
    </row>
    <row r="827" spans="1:1" x14ac:dyDescent="0.25">
      <c r="A827" s="3" t="str">
        <f t="shared" si="13"/>
        <v/>
      </c>
    </row>
    <row r="828" spans="1:1" x14ac:dyDescent="0.25">
      <c r="A828" s="3" t="str">
        <f t="shared" si="13"/>
        <v/>
      </c>
    </row>
    <row r="829" spans="1:1" x14ac:dyDescent="0.25">
      <c r="A829" s="3" t="str">
        <f t="shared" si="13"/>
        <v/>
      </c>
    </row>
    <row r="830" spans="1:1" x14ac:dyDescent="0.25">
      <c r="A830" s="3" t="str">
        <f t="shared" si="13"/>
        <v/>
      </c>
    </row>
    <row r="831" spans="1:1" x14ac:dyDescent="0.25">
      <c r="A831" s="3" t="str">
        <f t="shared" si="13"/>
        <v/>
      </c>
    </row>
    <row r="832" spans="1:1" x14ac:dyDescent="0.25">
      <c r="A832" s="3" t="str">
        <f t="shared" si="13"/>
        <v/>
      </c>
    </row>
    <row r="833" spans="1:1" x14ac:dyDescent="0.25">
      <c r="A833" s="3" t="str">
        <f t="shared" si="13"/>
        <v/>
      </c>
    </row>
    <row r="834" spans="1:1" x14ac:dyDescent="0.25">
      <c r="A834" s="3" t="str">
        <f t="shared" si="13"/>
        <v/>
      </c>
    </row>
    <row r="835" spans="1:1" x14ac:dyDescent="0.25">
      <c r="A835" s="3" t="str">
        <f t="shared" si="13"/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ref="A841:A904" si="14">IF(B841&lt;&gt; "",ROW(B841) - 8,"")</f>
        <v/>
      </c>
    </row>
    <row r="842" spans="1:1" x14ac:dyDescent="0.25">
      <c r="A842" s="3" t="str">
        <f t="shared" si="14"/>
        <v/>
      </c>
    </row>
    <row r="843" spans="1:1" x14ac:dyDescent="0.25">
      <c r="A843" s="3" t="str">
        <f t="shared" si="14"/>
        <v/>
      </c>
    </row>
    <row r="844" spans="1:1" x14ac:dyDescent="0.25">
      <c r="A844" s="3" t="str">
        <f t="shared" si="14"/>
        <v/>
      </c>
    </row>
    <row r="845" spans="1:1" x14ac:dyDescent="0.25">
      <c r="A845" s="3" t="str">
        <f t="shared" si="14"/>
        <v/>
      </c>
    </row>
    <row r="846" spans="1:1" x14ac:dyDescent="0.25">
      <c r="A846" s="3" t="str">
        <f t="shared" si="14"/>
        <v/>
      </c>
    </row>
    <row r="847" spans="1:1" x14ac:dyDescent="0.25">
      <c r="A847" s="3" t="str">
        <f t="shared" si="14"/>
        <v/>
      </c>
    </row>
    <row r="848" spans="1:1" x14ac:dyDescent="0.25">
      <c r="A848" s="3" t="str">
        <f t="shared" si="14"/>
        <v/>
      </c>
    </row>
    <row r="849" spans="1:1" x14ac:dyDescent="0.25">
      <c r="A849" s="3" t="str">
        <f t="shared" si="14"/>
        <v/>
      </c>
    </row>
    <row r="850" spans="1:1" x14ac:dyDescent="0.25">
      <c r="A850" s="3" t="str">
        <f t="shared" si="14"/>
        <v/>
      </c>
    </row>
    <row r="851" spans="1:1" x14ac:dyDescent="0.25">
      <c r="A851" s="3" t="str">
        <f t="shared" si="14"/>
        <v/>
      </c>
    </row>
    <row r="852" spans="1:1" x14ac:dyDescent="0.25">
      <c r="A852" s="3" t="str">
        <f t="shared" si="14"/>
        <v/>
      </c>
    </row>
    <row r="853" spans="1:1" x14ac:dyDescent="0.25">
      <c r="A853" s="3" t="str">
        <f t="shared" si="14"/>
        <v/>
      </c>
    </row>
    <row r="854" spans="1:1" x14ac:dyDescent="0.25">
      <c r="A854" s="3" t="str">
        <f t="shared" si="14"/>
        <v/>
      </c>
    </row>
    <row r="855" spans="1:1" x14ac:dyDescent="0.25">
      <c r="A855" s="3" t="str">
        <f t="shared" si="14"/>
        <v/>
      </c>
    </row>
    <row r="856" spans="1:1" x14ac:dyDescent="0.25">
      <c r="A856" s="3" t="str">
        <f t="shared" si="14"/>
        <v/>
      </c>
    </row>
    <row r="857" spans="1:1" x14ac:dyDescent="0.25">
      <c r="A857" s="3" t="str">
        <f t="shared" si="14"/>
        <v/>
      </c>
    </row>
    <row r="858" spans="1:1" x14ac:dyDescent="0.25">
      <c r="A858" s="3" t="str">
        <f t="shared" si="14"/>
        <v/>
      </c>
    </row>
    <row r="859" spans="1:1" x14ac:dyDescent="0.25">
      <c r="A859" s="3" t="str">
        <f t="shared" si="14"/>
        <v/>
      </c>
    </row>
    <row r="860" spans="1:1" x14ac:dyDescent="0.25">
      <c r="A860" s="3" t="str">
        <f t="shared" si="14"/>
        <v/>
      </c>
    </row>
    <row r="861" spans="1:1" x14ac:dyDescent="0.25">
      <c r="A861" s="3" t="str">
        <f t="shared" si="14"/>
        <v/>
      </c>
    </row>
    <row r="862" spans="1:1" x14ac:dyDescent="0.25">
      <c r="A862" s="3" t="str">
        <f t="shared" si="14"/>
        <v/>
      </c>
    </row>
    <row r="863" spans="1:1" x14ac:dyDescent="0.25">
      <c r="A863" s="3" t="str">
        <f t="shared" si="14"/>
        <v/>
      </c>
    </row>
    <row r="864" spans="1:1" x14ac:dyDescent="0.25">
      <c r="A864" s="3" t="str">
        <f t="shared" si="14"/>
        <v/>
      </c>
    </row>
    <row r="865" spans="1:1" x14ac:dyDescent="0.25">
      <c r="A865" s="3" t="str">
        <f t="shared" si="14"/>
        <v/>
      </c>
    </row>
    <row r="866" spans="1:1" x14ac:dyDescent="0.25">
      <c r="A866" s="3" t="str">
        <f t="shared" si="14"/>
        <v/>
      </c>
    </row>
    <row r="867" spans="1:1" x14ac:dyDescent="0.25">
      <c r="A867" s="3" t="str">
        <f t="shared" si="14"/>
        <v/>
      </c>
    </row>
    <row r="868" spans="1:1" x14ac:dyDescent="0.25">
      <c r="A868" s="3" t="str">
        <f t="shared" si="14"/>
        <v/>
      </c>
    </row>
    <row r="869" spans="1:1" x14ac:dyDescent="0.25">
      <c r="A869" s="3" t="str">
        <f t="shared" si="14"/>
        <v/>
      </c>
    </row>
    <row r="870" spans="1:1" x14ac:dyDescent="0.25">
      <c r="A870" s="3" t="str">
        <f t="shared" si="14"/>
        <v/>
      </c>
    </row>
    <row r="871" spans="1:1" x14ac:dyDescent="0.25">
      <c r="A871" s="3" t="str">
        <f t="shared" si="14"/>
        <v/>
      </c>
    </row>
    <row r="872" spans="1:1" x14ac:dyDescent="0.25">
      <c r="A872" s="3" t="str">
        <f t="shared" si="14"/>
        <v/>
      </c>
    </row>
    <row r="873" spans="1:1" x14ac:dyDescent="0.25">
      <c r="A873" s="3" t="str">
        <f t="shared" si="14"/>
        <v/>
      </c>
    </row>
    <row r="874" spans="1:1" x14ac:dyDescent="0.25">
      <c r="A874" s="3" t="str">
        <f t="shared" si="14"/>
        <v/>
      </c>
    </row>
    <row r="875" spans="1:1" x14ac:dyDescent="0.25">
      <c r="A875" s="3" t="str">
        <f t="shared" si="14"/>
        <v/>
      </c>
    </row>
    <row r="876" spans="1:1" x14ac:dyDescent="0.25">
      <c r="A876" s="3" t="str">
        <f t="shared" si="14"/>
        <v/>
      </c>
    </row>
    <row r="877" spans="1:1" x14ac:dyDescent="0.25">
      <c r="A877" s="3" t="str">
        <f t="shared" si="14"/>
        <v/>
      </c>
    </row>
    <row r="878" spans="1:1" x14ac:dyDescent="0.25">
      <c r="A878" s="3" t="str">
        <f t="shared" si="14"/>
        <v/>
      </c>
    </row>
    <row r="879" spans="1:1" x14ac:dyDescent="0.25">
      <c r="A879" s="3" t="str">
        <f t="shared" si="14"/>
        <v/>
      </c>
    </row>
    <row r="880" spans="1:1" x14ac:dyDescent="0.25">
      <c r="A880" s="3" t="str">
        <f t="shared" si="14"/>
        <v/>
      </c>
    </row>
    <row r="881" spans="1:1" x14ac:dyDescent="0.25">
      <c r="A881" s="3" t="str">
        <f t="shared" si="14"/>
        <v/>
      </c>
    </row>
    <row r="882" spans="1:1" x14ac:dyDescent="0.25">
      <c r="A882" s="3" t="str">
        <f t="shared" si="14"/>
        <v/>
      </c>
    </row>
    <row r="883" spans="1:1" x14ac:dyDescent="0.25">
      <c r="A883" s="3" t="str">
        <f t="shared" si="14"/>
        <v/>
      </c>
    </row>
    <row r="884" spans="1:1" x14ac:dyDescent="0.25">
      <c r="A884" s="3" t="str">
        <f t="shared" si="14"/>
        <v/>
      </c>
    </row>
    <row r="885" spans="1:1" x14ac:dyDescent="0.25">
      <c r="A885" s="3" t="str">
        <f t="shared" si="14"/>
        <v/>
      </c>
    </row>
    <row r="886" spans="1:1" x14ac:dyDescent="0.25">
      <c r="A886" s="3" t="str">
        <f t="shared" si="14"/>
        <v/>
      </c>
    </row>
    <row r="887" spans="1:1" x14ac:dyDescent="0.25">
      <c r="A887" s="3" t="str">
        <f t="shared" si="14"/>
        <v/>
      </c>
    </row>
    <row r="888" spans="1:1" x14ac:dyDescent="0.25">
      <c r="A888" s="3" t="str">
        <f t="shared" si="14"/>
        <v/>
      </c>
    </row>
    <row r="889" spans="1:1" x14ac:dyDescent="0.25">
      <c r="A889" s="3" t="str">
        <f t="shared" si="14"/>
        <v/>
      </c>
    </row>
    <row r="890" spans="1:1" x14ac:dyDescent="0.25">
      <c r="A890" s="3" t="str">
        <f t="shared" si="14"/>
        <v/>
      </c>
    </row>
    <row r="891" spans="1:1" x14ac:dyDescent="0.25">
      <c r="A891" s="3" t="str">
        <f t="shared" si="14"/>
        <v/>
      </c>
    </row>
    <row r="892" spans="1:1" x14ac:dyDescent="0.25">
      <c r="A892" s="3" t="str">
        <f t="shared" si="14"/>
        <v/>
      </c>
    </row>
    <row r="893" spans="1:1" x14ac:dyDescent="0.25">
      <c r="A893" s="3" t="str">
        <f t="shared" si="14"/>
        <v/>
      </c>
    </row>
    <row r="894" spans="1:1" x14ac:dyDescent="0.25">
      <c r="A894" s="3" t="str">
        <f t="shared" si="14"/>
        <v/>
      </c>
    </row>
    <row r="895" spans="1:1" x14ac:dyDescent="0.25">
      <c r="A895" s="3" t="str">
        <f t="shared" si="14"/>
        <v/>
      </c>
    </row>
    <row r="896" spans="1:1" x14ac:dyDescent="0.25">
      <c r="A896" s="3" t="str">
        <f t="shared" si="14"/>
        <v/>
      </c>
    </row>
    <row r="897" spans="1:1" x14ac:dyDescent="0.25">
      <c r="A897" s="3" t="str">
        <f t="shared" si="14"/>
        <v/>
      </c>
    </row>
    <row r="898" spans="1:1" x14ac:dyDescent="0.25">
      <c r="A898" s="3" t="str">
        <f t="shared" si="14"/>
        <v/>
      </c>
    </row>
    <row r="899" spans="1:1" x14ac:dyDescent="0.25">
      <c r="A899" s="3" t="str">
        <f t="shared" si="14"/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ref="A905:A968" si="15">IF(B905&lt;&gt; "",ROW(B905) - 8,"")</f>
        <v/>
      </c>
    </row>
    <row r="906" spans="1:1" x14ac:dyDescent="0.25">
      <c r="A906" s="3" t="str">
        <f t="shared" si="15"/>
        <v/>
      </c>
    </row>
    <row r="907" spans="1:1" x14ac:dyDescent="0.25">
      <c r="A907" s="3" t="str">
        <f t="shared" si="15"/>
        <v/>
      </c>
    </row>
    <row r="908" spans="1:1" x14ac:dyDescent="0.25">
      <c r="A908" s="3" t="str">
        <f t="shared" si="15"/>
        <v/>
      </c>
    </row>
    <row r="909" spans="1:1" x14ac:dyDescent="0.25">
      <c r="A909" s="3" t="str">
        <f t="shared" si="15"/>
        <v/>
      </c>
    </row>
    <row r="910" spans="1:1" x14ac:dyDescent="0.25">
      <c r="A910" s="3" t="str">
        <f t="shared" si="15"/>
        <v/>
      </c>
    </row>
    <row r="911" spans="1:1" x14ac:dyDescent="0.25">
      <c r="A911" s="3" t="str">
        <f t="shared" si="15"/>
        <v/>
      </c>
    </row>
    <row r="912" spans="1:1" x14ac:dyDescent="0.25">
      <c r="A912" s="3" t="str">
        <f t="shared" si="15"/>
        <v/>
      </c>
    </row>
    <row r="913" spans="1:1" x14ac:dyDescent="0.25">
      <c r="A913" s="3" t="str">
        <f t="shared" si="15"/>
        <v/>
      </c>
    </row>
    <row r="914" spans="1:1" x14ac:dyDescent="0.25">
      <c r="A914" s="3" t="str">
        <f t="shared" si="15"/>
        <v/>
      </c>
    </row>
    <row r="915" spans="1:1" x14ac:dyDescent="0.25">
      <c r="A915" s="3" t="str">
        <f t="shared" si="15"/>
        <v/>
      </c>
    </row>
    <row r="916" spans="1:1" x14ac:dyDescent="0.25">
      <c r="A916" s="3" t="str">
        <f t="shared" si="15"/>
        <v/>
      </c>
    </row>
    <row r="917" spans="1:1" x14ac:dyDescent="0.25">
      <c r="A917" s="3" t="str">
        <f t="shared" si="15"/>
        <v/>
      </c>
    </row>
    <row r="918" spans="1:1" x14ac:dyDescent="0.25">
      <c r="A918" s="3" t="str">
        <f t="shared" si="15"/>
        <v/>
      </c>
    </row>
    <row r="919" spans="1:1" x14ac:dyDescent="0.25">
      <c r="A919" s="3" t="str">
        <f t="shared" si="15"/>
        <v/>
      </c>
    </row>
    <row r="920" spans="1:1" x14ac:dyDescent="0.25">
      <c r="A920" s="3" t="str">
        <f t="shared" si="15"/>
        <v/>
      </c>
    </row>
    <row r="921" spans="1:1" x14ac:dyDescent="0.25">
      <c r="A921" s="3" t="str">
        <f t="shared" si="15"/>
        <v/>
      </c>
    </row>
    <row r="922" spans="1:1" x14ac:dyDescent="0.25">
      <c r="A922" s="3" t="str">
        <f t="shared" si="15"/>
        <v/>
      </c>
    </row>
    <row r="923" spans="1:1" x14ac:dyDescent="0.25">
      <c r="A923" s="3" t="str">
        <f t="shared" si="15"/>
        <v/>
      </c>
    </row>
    <row r="924" spans="1:1" x14ac:dyDescent="0.25">
      <c r="A924" s="3" t="str">
        <f t="shared" si="15"/>
        <v/>
      </c>
    </row>
    <row r="925" spans="1:1" x14ac:dyDescent="0.25">
      <c r="A925" s="3" t="str">
        <f t="shared" si="15"/>
        <v/>
      </c>
    </row>
    <row r="926" spans="1:1" x14ac:dyDescent="0.25">
      <c r="A926" s="3" t="str">
        <f t="shared" si="15"/>
        <v/>
      </c>
    </row>
    <row r="927" spans="1:1" x14ac:dyDescent="0.25">
      <c r="A927" s="3" t="str">
        <f t="shared" si="15"/>
        <v/>
      </c>
    </row>
    <row r="928" spans="1:1" x14ac:dyDescent="0.25">
      <c r="A928" s="3" t="str">
        <f t="shared" si="15"/>
        <v/>
      </c>
    </row>
    <row r="929" spans="1:1" x14ac:dyDescent="0.25">
      <c r="A929" s="3" t="str">
        <f t="shared" si="15"/>
        <v/>
      </c>
    </row>
    <row r="930" spans="1:1" x14ac:dyDescent="0.25">
      <c r="A930" s="3" t="str">
        <f t="shared" si="15"/>
        <v/>
      </c>
    </row>
    <row r="931" spans="1:1" x14ac:dyDescent="0.25">
      <c r="A931" s="3" t="str">
        <f t="shared" si="15"/>
        <v/>
      </c>
    </row>
    <row r="932" spans="1:1" x14ac:dyDescent="0.25">
      <c r="A932" s="3" t="str">
        <f t="shared" si="15"/>
        <v/>
      </c>
    </row>
    <row r="933" spans="1:1" x14ac:dyDescent="0.25">
      <c r="A933" s="3" t="str">
        <f t="shared" si="15"/>
        <v/>
      </c>
    </row>
    <row r="934" spans="1:1" x14ac:dyDescent="0.25">
      <c r="A934" s="3" t="str">
        <f t="shared" si="15"/>
        <v/>
      </c>
    </row>
    <row r="935" spans="1:1" x14ac:dyDescent="0.25">
      <c r="A935" s="3" t="str">
        <f t="shared" si="15"/>
        <v/>
      </c>
    </row>
    <row r="936" spans="1:1" x14ac:dyDescent="0.25">
      <c r="A936" s="3" t="str">
        <f t="shared" si="15"/>
        <v/>
      </c>
    </row>
    <row r="937" spans="1:1" x14ac:dyDescent="0.25">
      <c r="A937" s="3" t="str">
        <f t="shared" si="15"/>
        <v/>
      </c>
    </row>
    <row r="938" spans="1:1" x14ac:dyDescent="0.25">
      <c r="A938" s="3" t="str">
        <f t="shared" si="15"/>
        <v/>
      </c>
    </row>
    <row r="939" spans="1:1" x14ac:dyDescent="0.25">
      <c r="A939" s="3" t="str">
        <f t="shared" si="15"/>
        <v/>
      </c>
    </row>
    <row r="940" spans="1:1" x14ac:dyDescent="0.25">
      <c r="A940" s="3" t="str">
        <f t="shared" si="15"/>
        <v/>
      </c>
    </row>
    <row r="941" spans="1:1" x14ac:dyDescent="0.25">
      <c r="A941" s="3" t="str">
        <f t="shared" si="15"/>
        <v/>
      </c>
    </row>
    <row r="942" spans="1:1" x14ac:dyDescent="0.25">
      <c r="A942" s="3" t="str">
        <f t="shared" si="15"/>
        <v/>
      </c>
    </row>
    <row r="943" spans="1:1" x14ac:dyDescent="0.25">
      <c r="A943" s="3" t="str">
        <f t="shared" si="15"/>
        <v/>
      </c>
    </row>
    <row r="944" spans="1:1" x14ac:dyDescent="0.25">
      <c r="A944" s="3" t="str">
        <f t="shared" si="15"/>
        <v/>
      </c>
    </row>
    <row r="945" spans="1:1" x14ac:dyDescent="0.25">
      <c r="A945" s="3" t="str">
        <f t="shared" si="15"/>
        <v/>
      </c>
    </row>
    <row r="946" spans="1:1" x14ac:dyDescent="0.25">
      <c r="A946" s="3" t="str">
        <f t="shared" si="15"/>
        <v/>
      </c>
    </row>
    <row r="947" spans="1:1" x14ac:dyDescent="0.25">
      <c r="A947" s="3" t="str">
        <f t="shared" si="15"/>
        <v/>
      </c>
    </row>
    <row r="948" spans="1:1" x14ac:dyDescent="0.25">
      <c r="A948" s="3" t="str">
        <f t="shared" si="15"/>
        <v/>
      </c>
    </row>
    <row r="949" spans="1:1" x14ac:dyDescent="0.25">
      <c r="A949" s="3" t="str">
        <f t="shared" si="15"/>
        <v/>
      </c>
    </row>
    <row r="950" spans="1:1" x14ac:dyDescent="0.25">
      <c r="A950" s="3" t="str">
        <f t="shared" si="15"/>
        <v/>
      </c>
    </row>
    <row r="951" spans="1:1" x14ac:dyDescent="0.25">
      <c r="A951" s="3" t="str">
        <f t="shared" si="15"/>
        <v/>
      </c>
    </row>
    <row r="952" spans="1:1" x14ac:dyDescent="0.25">
      <c r="A952" s="3" t="str">
        <f t="shared" si="15"/>
        <v/>
      </c>
    </row>
    <row r="953" spans="1:1" x14ac:dyDescent="0.25">
      <c r="A953" s="3" t="str">
        <f t="shared" si="15"/>
        <v/>
      </c>
    </row>
    <row r="954" spans="1:1" x14ac:dyDescent="0.25">
      <c r="A954" s="3" t="str">
        <f t="shared" si="15"/>
        <v/>
      </c>
    </row>
    <row r="955" spans="1:1" x14ac:dyDescent="0.25">
      <c r="A955" s="3" t="str">
        <f t="shared" si="15"/>
        <v/>
      </c>
    </row>
    <row r="956" spans="1:1" x14ac:dyDescent="0.25">
      <c r="A956" s="3" t="str">
        <f t="shared" si="15"/>
        <v/>
      </c>
    </row>
    <row r="957" spans="1:1" x14ac:dyDescent="0.25">
      <c r="A957" s="3" t="str">
        <f t="shared" si="15"/>
        <v/>
      </c>
    </row>
    <row r="958" spans="1:1" x14ac:dyDescent="0.25">
      <c r="A958" s="3" t="str">
        <f t="shared" si="15"/>
        <v/>
      </c>
    </row>
    <row r="959" spans="1:1" x14ac:dyDescent="0.25">
      <c r="A959" s="3" t="str">
        <f t="shared" si="15"/>
        <v/>
      </c>
    </row>
    <row r="960" spans="1:1" x14ac:dyDescent="0.25">
      <c r="A960" s="3" t="str">
        <f t="shared" si="15"/>
        <v/>
      </c>
    </row>
    <row r="961" spans="1:1" x14ac:dyDescent="0.25">
      <c r="A961" s="3" t="str">
        <f t="shared" si="15"/>
        <v/>
      </c>
    </row>
    <row r="962" spans="1:1" x14ac:dyDescent="0.25">
      <c r="A962" s="3" t="str">
        <f t="shared" si="15"/>
        <v/>
      </c>
    </row>
    <row r="963" spans="1:1" x14ac:dyDescent="0.25">
      <c r="A963" s="3" t="str">
        <f t="shared" si="15"/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ref="A969:A1032" si="16">IF(B969&lt;&gt; "",ROW(B969) - 8,"")</f>
        <v/>
      </c>
    </row>
    <row r="970" spans="1:1" x14ac:dyDescent="0.25">
      <c r="A970" s="3" t="str">
        <f t="shared" si="16"/>
        <v/>
      </c>
    </row>
    <row r="971" spans="1:1" x14ac:dyDescent="0.25">
      <c r="A971" s="3" t="str">
        <f t="shared" si="16"/>
        <v/>
      </c>
    </row>
    <row r="972" spans="1:1" x14ac:dyDescent="0.25">
      <c r="A972" s="3" t="str">
        <f t="shared" si="16"/>
        <v/>
      </c>
    </row>
    <row r="973" spans="1:1" x14ac:dyDescent="0.25">
      <c r="A973" s="3" t="str">
        <f t="shared" si="16"/>
        <v/>
      </c>
    </row>
    <row r="974" spans="1:1" x14ac:dyDescent="0.25">
      <c r="A974" s="3" t="str">
        <f t="shared" si="16"/>
        <v/>
      </c>
    </row>
    <row r="975" spans="1:1" x14ac:dyDescent="0.25">
      <c r="A975" s="3" t="str">
        <f t="shared" si="16"/>
        <v/>
      </c>
    </row>
    <row r="976" spans="1:1" x14ac:dyDescent="0.25">
      <c r="A976" s="3" t="str">
        <f t="shared" si="16"/>
        <v/>
      </c>
    </row>
    <row r="977" spans="1:1" x14ac:dyDescent="0.25">
      <c r="A977" s="3" t="str">
        <f t="shared" si="16"/>
        <v/>
      </c>
    </row>
    <row r="978" spans="1:1" x14ac:dyDescent="0.25">
      <c r="A978" s="3" t="str">
        <f t="shared" si="16"/>
        <v/>
      </c>
    </row>
    <row r="979" spans="1:1" x14ac:dyDescent="0.25">
      <c r="A979" s="3" t="str">
        <f t="shared" si="16"/>
        <v/>
      </c>
    </row>
    <row r="980" spans="1:1" x14ac:dyDescent="0.25">
      <c r="A980" s="3" t="str">
        <f t="shared" si="16"/>
        <v/>
      </c>
    </row>
    <row r="981" spans="1:1" x14ac:dyDescent="0.25">
      <c r="A981" s="3" t="str">
        <f t="shared" si="16"/>
        <v/>
      </c>
    </row>
    <row r="982" spans="1:1" x14ac:dyDescent="0.25">
      <c r="A982" s="3" t="str">
        <f t="shared" si="16"/>
        <v/>
      </c>
    </row>
    <row r="983" spans="1:1" x14ac:dyDescent="0.25">
      <c r="A983" s="3" t="str">
        <f t="shared" si="16"/>
        <v/>
      </c>
    </row>
    <row r="984" spans="1:1" x14ac:dyDescent="0.25">
      <c r="A984" s="3" t="str">
        <f t="shared" si="16"/>
        <v/>
      </c>
    </row>
    <row r="985" spans="1:1" x14ac:dyDescent="0.25">
      <c r="A985" s="3" t="str">
        <f t="shared" si="16"/>
        <v/>
      </c>
    </row>
    <row r="986" spans="1:1" x14ac:dyDescent="0.25">
      <c r="A986" s="3" t="str">
        <f t="shared" si="16"/>
        <v/>
      </c>
    </row>
    <row r="987" spans="1:1" x14ac:dyDescent="0.25">
      <c r="A987" s="3" t="str">
        <f t="shared" si="16"/>
        <v/>
      </c>
    </row>
    <row r="988" spans="1:1" x14ac:dyDescent="0.25">
      <c r="A988" s="3" t="str">
        <f t="shared" si="16"/>
        <v/>
      </c>
    </row>
    <row r="989" spans="1:1" x14ac:dyDescent="0.25">
      <c r="A989" s="3" t="str">
        <f t="shared" si="16"/>
        <v/>
      </c>
    </row>
    <row r="990" spans="1:1" x14ac:dyDescent="0.25">
      <c r="A990" s="3" t="str">
        <f t="shared" si="16"/>
        <v/>
      </c>
    </row>
    <row r="991" spans="1:1" x14ac:dyDescent="0.25">
      <c r="A991" s="3" t="str">
        <f t="shared" si="16"/>
        <v/>
      </c>
    </row>
    <row r="992" spans="1:1" x14ac:dyDescent="0.25">
      <c r="A992" s="3" t="str">
        <f t="shared" si="16"/>
        <v/>
      </c>
    </row>
    <row r="993" spans="1:1" x14ac:dyDescent="0.25">
      <c r="A993" s="3" t="str">
        <f t="shared" si="16"/>
        <v/>
      </c>
    </row>
    <row r="994" spans="1:1" x14ac:dyDescent="0.25">
      <c r="A994" s="3" t="str">
        <f t="shared" si="16"/>
        <v/>
      </c>
    </row>
    <row r="995" spans="1:1" x14ac:dyDescent="0.25">
      <c r="A995" s="3" t="str">
        <f t="shared" si="16"/>
        <v/>
      </c>
    </row>
    <row r="996" spans="1:1" x14ac:dyDescent="0.25">
      <c r="A996" s="3" t="str">
        <f t="shared" si="16"/>
        <v/>
      </c>
    </row>
    <row r="997" spans="1:1" x14ac:dyDescent="0.25">
      <c r="A997" s="3" t="str">
        <f t="shared" si="16"/>
        <v/>
      </c>
    </row>
    <row r="998" spans="1:1" x14ac:dyDescent="0.25">
      <c r="A998" s="3" t="str">
        <f t="shared" si="16"/>
        <v/>
      </c>
    </row>
    <row r="999" spans="1:1" x14ac:dyDescent="0.25">
      <c r="A999" s="3" t="str">
        <f t="shared" si="16"/>
        <v/>
      </c>
    </row>
    <row r="1000" spans="1:1" x14ac:dyDescent="0.25">
      <c r="A1000" s="3" t="str">
        <f t="shared" si="16"/>
        <v/>
      </c>
    </row>
    <row r="1001" spans="1:1" x14ac:dyDescent="0.25">
      <c r="A1001" s="3" t="str">
        <f t="shared" si="16"/>
        <v/>
      </c>
    </row>
    <row r="1002" spans="1:1" x14ac:dyDescent="0.25">
      <c r="A1002" s="3" t="str">
        <f t="shared" si="16"/>
        <v/>
      </c>
    </row>
    <row r="1003" spans="1:1" x14ac:dyDescent="0.25">
      <c r="A1003" s="3" t="str">
        <f t="shared" si="16"/>
        <v/>
      </c>
    </row>
    <row r="1004" spans="1:1" x14ac:dyDescent="0.25">
      <c r="A1004" s="3" t="str">
        <f t="shared" si="16"/>
        <v/>
      </c>
    </row>
    <row r="1005" spans="1:1" x14ac:dyDescent="0.25">
      <c r="A1005" s="3" t="str">
        <f t="shared" si="16"/>
        <v/>
      </c>
    </row>
    <row r="1006" spans="1:1" x14ac:dyDescent="0.25">
      <c r="A1006" s="3" t="str">
        <f t="shared" si="16"/>
        <v/>
      </c>
    </row>
    <row r="1007" spans="1:1" x14ac:dyDescent="0.25">
      <c r="A1007" s="3" t="str">
        <f t="shared" si="16"/>
        <v/>
      </c>
    </row>
    <row r="1008" spans="1:1" x14ac:dyDescent="0.25">
      <c r="A1008" s="3" t="str">
        <f t="shared" si="16"/>
        <v/>
      </c>
    </row>
    <row r="1009" spans="1:1" x14ac:dyDescent="0.25">
      <c r="A1009" s="3" t="str">
        <f t="shared" si="16"/>
        <v/>
      </c>
    </row>
    <row r="1010" spans="1:1" x14ac:dyDescent="0.25">
      <c r="A1010" s="3" t="str">
        <f t="shared" si="16"/>
        <v/>
      </c>
    </row>
    <row r="1011" spans="1:1" x14ac:dyDescent="0.25">
      <c r="A1011" s="3" t="str">
        <f t="shared" si="16"/>
        <v/>
      </c>
    </row>
    <row r="1012" spans="1:1" x14ac:dyDescent="0.25">
      <c r="A1012" s="3" t="str">
        <f t="shared" si="16"/>
        <v/>
      </c>
    </row>
    <row r="1013" spans="1:1" x14ac:dyDescent="0.25">
      <c r="A1013" s="3" t="str">
        <f t="shared" si="16"/>
        <v/>
      </c>
    </row>
    <row r="1014" spans="1:1" x14ac:dyDescent="0.25">
      <c r="A1014" s="3" t="str">
        <f t="shared" si="16"/>
        <v/>
      </c>
    </row>
    <row r="1015" spans="1:1" x14ac:dyDescent="0.25">
      <c r="A1015" s="3" t="str">
        <f t="shared" si="16"/>
        <v/>
      </c>
    </row>
    <row r="1016" spans="1:1" x14ac:dyDescent="0.25">
      <c r="A1016" s="3" t="str">
        <f t="shared" si="16"/>
        <v/>
      </c>
    </row>
    <row r="1017" spans="1:1" x14ac:dyDescent="0.25">
      <c r="A1017" s="3" t="str">
        <f t="shared" si="16"/>
        <v/>
      </c>
    </row>
    <row r="1018" spans="1:1" x14ac:dyDescent="0.25">
      <c r="A1018" s="3" t="str">
        <f t="shared" si="16"/>
        <v/>
      </c>
    </row>
    <row r="1019" spans="1:1" x14ac:dyDescent="0.25">
      <c r="A1019" s="3" t="str">
        <f t="shared" si="16"/>
        <v/>
      </c>
    </row>
    <row r="1020" spans="1:1" x14ac:dyDescent="0.25">
      <c r="A1020" s="3" t="str">
        <f t="shared" si="16"/>
        <v/>
      </c>
    </row>
    <row r="1021" spans="1:1" x14ac:dyDescent="0.25">
      <c r="A1021" s="3" t="str">
        <f t="shared" si="16"/>
        <v/>
      </c>
    </row>
    <row r="1022" spans="1:1" x14ac:dyDescent="0.25">
      <c r="A1022" s="3" t="str">
        <f t="shared" si="16"/>
        <v/>
      </c>
    </row>
    <row r="1023" spans="1:1" x14ac:dyDescent="0.25">
      <c r="A1023" s="3" t="str">
        <f t="shared" si="16"/>
        <v/>
      </c>
    </row>
    <row r="1024" spans="1:1" x14ac:dyDescent="0.25">
      <c r="A1024" s="3" t="str">
        <f t="shared" si="16"/>
        <v/>
      </c>
    </row>
    <row r="1025" spans="1:1" x14ac:dyDescent="0.25">
      <c r="A1025" s="3" t="str">
        <f t="shared" si="16"/>
        <v/>
      </c>
    </row>
    <row r="1026" spans="1:1" x14ac:dyDescent="0.25">
      <c r="A1026" s="3" t="str">
        <f t="shared" si="16"/>
        <v/>
      </c>
    </row>
    <row r="1027" spans="1:1" x14ac:dyDescent="0.25">
      <c r="A1027" s="3" t="str">
        <f t="shared" si="16"/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ref="A1033:A1096" si="17">IF(B1033&lt;&gt; "",ROW(B1033) - 8,"")</f>
        <v/>
      </c>
    </row>
    <row r="1034" spans="1:1" x14ac:dyDescent="0.25">
      <c r="A1034" s="3" t="str">
        <f t="shared" si="17"/>
        <v/>
      </c>
    </row>
    <row r="1035" spans="1:1" x14ac:dyDescent="0.25">
      <c r="A1035" s="3" t="str">
        <f t="shared" si="17"/>
        <v/>
      </c>
    </row>
    <row r="1036" spans="1:1" x14ac:dyDescent="0.25">
      <c r="A1036" s="3" t="str">
        <f t="shared" si="17"/>
        <v/>
      </c>
    </row>
    <row r="1037" spans="1:1" x14ac:dyDescent="0.25">
      <c r="A1037" s="3" t="str">
        <f t="shared" si="17"/>
        <v/>
      </c>
    </row>
    <row r="1038" spans="1:1" x14ac:dyDescent="0.25">
      <c r="A1038" s="3" t="str">
        <f t="shared" si="17"/>
        <v/>
      </c>
    </row>
    <row r="1039" spans="1:1" x14ac:dyDescent="0.25">
      <c r="A1039" s="3" t="str">
        <f t="shared" si="17"/>
        <v/>
      </c>
    </row>
    <row r="1040" spans="1:1" x14ac:dyDescent="0.25">
      <c r="A1040" s="3" t="str">
        <f t="shared" si="17"/>
        <v/>
      </c>
    </row>
    <row r="1041" spans="1:1" x14ac:dyDescent="0.25">
      <c r="A1041" s="3" t="str">
        <f t="shared" si="17"/>
        <v/>
      </c>
    </row>
    <row r="1042" spans="1:1" x14ac:dyDescent="0.25">
      <c r="A1042" s="3" t="str">
        <f t="shared" si="17"/>
        <v/>
      </c>
    </row>
    <row r="1043" spans="1:1" x14ac:dyDescent="0.25">
      <c r="A1043" s="3" t="str">
        <f t="shared" si="17"/>
        <v/>
      </c>
    </row>
    <row r="1044" spans="1:1" x14ac:dyDescent="0.25">
      <c r="A1044" s="3" t="str">
        <f t="shared" si="17"/>
        <v/>
      </c>
    </row>
    <row r="1045" spans="1:1" x14ac:dyDescent="0.25">
      <c r="A1045" s="3" t="str">
        <f t="shared" si="17"/>
        <v/>
      </c>
    </row>
    <row r="1046" spans="1:1" x14ac:dyDescent="0.25">
      <c r="A1046" s="3" t="str">
        <f t="shared" si="17"/>
        <v/>
      </c>
    </row>
    <row r="1047" spans="1:1" x14ac:dyDescent="0.25">
      <c r="A1047" s="3" t="str">
        <f t="shared" si="17"/>
        <v/>
      </c>
    </row>
    <row r="1048" spans="1:1" x14ac:dyDescent="0.25">
      <c r="A1048" s="3" t="str">
        <f t="shared" si="17"/>
        <v/>
      </c>
    </row>
    <row r="1049" spans="1:1" x14ac:dyDescent="0.25">
      <c r="A1049" s="3" t="str">
        <f t="shared" si="17"/>
        <v/>
      </c>
    </row>
    <row r="1050" spans="1:1" x14ac:dyDescent="0.25">
      <c r="A1050" s="3" t="str">
        <f t="shared" si="17"/>
        <v/>
      </c>
    </row>
    <row r="1051" spans="1:1" x14ac:dyDescent="0.25">
      <c r="A1051" s="3" t="str">
        <f t="shared" si="17"/>
        <v/>
      </c>
    </row>
    <row r="1052" spans="1:1" x14ac:dyDescent="0.25">
      <c r="A1052" s="3" t="str">
        <f t="shared" si="17"/>
        <v/>
      </c>
    </row>
    <row r="1053" spans="1:1" x14ac:dyDescent="0.25">
      <c r="A1053" s="3" t="str">
        <f t="shared" si="17"/>
        <v/>
      </c>
    </row>
    <row r="1054" spans="1:1" x14ac:dyDescent="0.25">
      <c r="A1054" s="3" t="str">
        <f t="shared" si="17"/>
        <v/>
      </c>
    </row>
    <row r="1055" spans="1:1" x14ac:dyDescent="0.25">
      <c r="A1055" s="3" t="str">
        <f t="shared" si="17"/>
        <v/>
      </c>
    </row>
    <row r="1056" spans="1:1" x14ac:dyDescent="0.25">
      <c r="A1056" s="3" t="str">
        <f t="shared" si="17"/>
        <v/>
      </c>
    </row>
    <row r="1057" spans="1:1" x14ac:dyDescent="0.25">
      <c r="A1057" s="3" t="str">
        <f t="shared" si="17"/>
        <v/>
      </c>
    </row>
    <row r="1058" spans="1:1" x14ac:dyDescent="0.25">
      <c r="A1058" s="3" t="str">
        <f t="shared" si="17"/>
        <v/>
      </c>
    </row>
    <row r="1059" spans="1:1" x14ac:dyDescent="0.25">
      <c r="A1059" s="3" t="str">
        <f t="shared" si="17"/>
        <v/>
      </c>
    </row>
    <row r="1060" spans="1:1" x14ac:dyDescent="0.25">
      <c r="A1060" s="3" t="str">
        <f t="shared" si="17"/>
        <v/>
      </c>
    </row>
    <row r="1061" spans="1:1" x14ac:dyDescent="0.25">
      <c r="A1061" s="3" t="str">
        <f t="shared" si="17"/>
        <v/>
      </c>
    </row>
    <row r="1062" spans="1:1" x14ac:dyDescent="0.25">
      <c r="A1062" s="3" t="str">
        <f t="shared" si="17"/>
        <v/>
      </c>
    </row>
    <row r="1063" spans="1:1" x14ac:dyDescent="0.25">
      <c r="A1063" s="3" t="str">
        <f t="shared" si="17"/>
        <v/>
      </c>
    </row>
    <row r="1064" spans="1:1" x14ac:dyDescent="0.25">
      <c r="A1064" s="3" t="str">
        <f t="shared" si="17"/>
        <v/>
      </c>
    </row>
    <row r="1065" spans="1:1" x14ac:dyDescent="0.25">
      <c r="A1065" s="3" t="str">
        <f t="shared" si="17"/>
        <v/>
      </c>
    </row>
    <row r="1066" spans="1:1" x14ac:dyDescent="0.25">
      <c r="A1066" s="3" t="str">
        <f t="shared" si="17"/>
        <v/>
      </c>
    </row>
    <row r="1067" spans="1:1" x14ac:dyDescent="0.25">
      <c r="A1067" s="3" t="str">
        <f t="shared" si="17"/>
        <v/>
      </c>
    </row>
    <row r="1068" spans="1:1" x14ac:dyDescent="0.25">
      <c r="A1068" s="3" t="str">
        <f t="shared" si="17"/>
        <v/>
      </c>
    </row>
    <row r="1069" spans="1:1" x14ac:dyDescent="0.25">
      <c r="A1069" s="3" t="str">
        <f t="shared" si="17"/>
        <v/>
      </c>
    </row>
    <row r="1070" spans="1:1" x14ac:dyDescent="0.25">
      <c r="A1070" s="3" t="str">
        <f t="shared" si="17"/>
        <v/>
      </c>
    </row>
    <row r="1071" spans="1:1" x14ac:dyDescent="0.25">
      <c r="A1071" s="3" t="str">
        <f t="shared" si="17"/>
        <v/>
      </c>
    </row>
    <row r="1072" spans="1:1" x14ac:dyDescent="0.25">
      <c r="A1072" s="3" t="str">
        <f t="shared" si="17"/>
        <v/>
      </c>
    </row>
    <row r="1073" spans="1:1" x14ac:dyDescent="0.25">
      <c r="A1073" s="3" t="str">
        <f t="shared" si="17"/>
        <v/>
      </c>
    </row>
    <row r="1074" spans="1:1" x14ac:dyDescent="0.25">
      <c r="A1074" s="3" t="str">
        <f t="shared" si="17"/>
        <v/>
      </c>
    </row>
    <row r="1075" spans="1:1" x14ac:dyDescent="0.25">
      <c r="A1075" s="3" t="str">
        <f t="shared" si="17"/>
        <v/>
      </c>
    </row>
    <row r="1076" spans="1:1" x14ac:dyDescent="0.25">
      <c r="A1076" s="3" t="str">
        <f t="shared" si="17"/>
        <v/>
      </c>
    </row>
    <row r="1077" spans="1:1" x14ac:dyDescent="0.25">
      <c r="A1077" s="3" t="str">
        <f t="shared" si="17"/>
        <v/>
      </c>
    </row>
    <row r="1078" spans="1:1" x14ac:dyDescent="0.25">
      <c r="A1078" s="3" t="str">
        <f t="shared" si="17"/>
        <v/>
      </c>
    </row>
    <row r="1079" spans="1:1" x14ac:dyDescent="0.25">
      <c r="A1079" s="3" t="str">
        <f t="shared" si="17"/>
        <v/>
      </c>
    </row>
    <row r="1080" spans="1:1" x14ac:dyDescent="0.25">
      <c r="A1080" s="3" t="str">
        <f t="shared" si="17"/>
        <v/>
      </c>
    </row>
    <row r="1081" spans="1:1" x14ac:dyDescent="0.25">
      <c r="A1081" s="3" t="str">
        <f t="shared" si="17"/>
        <v/>
      </c>
    </row>
    <row r="1082" spans="1:1" x14ac:dyDescent="0.25">
      <c r="A1082" s="3" t="str">
        <f t="shared" si="17"/>
        <v/>
      </c>
    </row>
    <row r="1083" spans="1:1" x14ac:dyDescent="0.25">
      <c r="A1083" s="3" t="str">
        <f t="shared" si="17"/>
        <v/>
      </c>
    </row>
    <row r="1084" spans="1:1" x14ac:dyDescent="0.25">
      <c r="A1084" s="3" t="str">
        <f t="shared" si="17"/>
        <v/>
      </c>
    </row>
    <row r="1085" spans="1:1" x14ac:dyDescent="0.25">
      <c r="A1085" s="3" t="str">
        <f t="shared" si="17"/>
        <v/>
      </c>
    </row>
    <row r="1086" spans="1:1" x14ac:dyDescent="0.25">
      <c r="A1086" s="3" t="str">
        <f t="shared" si="17"/>
        <v/>
      </c>
    </row>
    <row r="1087" spans="1:1" x14ac:dyDescent="0.25">
      <c r="A1087" s="3" t="str">
        <f t="shared" si="17"/>
        <v/>
      </c>
    </row>
    <row r="1088" spans="1:1" x14ac:dyDescent="0.25">
      <c r="A1088" s="3" t="str">
        <f t="shared" si="17"/>
        <v/>
      </c>
    </row>
    <row r="1089" spans="1:1" x14ac:dyDescent="0.25">
      <c r="A1089" s="3" t="str">
        <f t="shared" si="17"/>
        <v/>
      </c>
    </row>
    <row r="1090" spans="1:1" x14ac:dyDescent="0.25">
      <c r="A1090" s="3" t="str">
        <f t="shared" si="17"/>
        <v/>
      </c>
    </row>
    <row r="1091" spans="1:1" x14ac:dyDescent="0.25">
      <c r="A1091" s="3" t="str">
        <f t="shared" si="17"/>
        <v/>
      </c>
    </row>
    <row r="1092" spans="1:1" x14ac:dyDescent="0.25">
      <c r="A1092" s="3" t="str">
        <f t="shared" si="17"/>
        <v/>
      </c>
    </row>
    <row r="1093" spans="1:1" x14ac:dyDescent="0.25">
      <c r="A1093" s="3" t="str">
        <f t="shared" si="17"/>
        <v/>
      </c>
    </row>
    <row r="1094" spans="1:1" x14ac:dyDescent="0.25">
      <c r="A1094" s="3" t="str">
        <f t="shared" si="17"/>
        <v/>
      </c>
    </row>
    <row r="1095" spans="1:1" x14ac:dyDescent="0.25">
      <c r="A1095" s="3" t="str">
        <f t="shared" si="17"/>
        <v/>
      </c>
    </row>
    <row r="1096" spans="1:1" x14ac:dyDescent="0.25">
      <c r="A1096" s="3" t="str">
        <f t="shared" si="17"/>
        <v/>
      </c>
    </row>
    <row r="1097" spans="1:1" x14ac:dyDescent="0.25">
      <c r="A1097" s="3" t="str">
        <f t="shared" ref="A1097:A1160" si="18">IF(B1097&lt;&gt; "",ROW(B1097) - 8,"")</f>
        <v/>
      </c>
    </row>
    <row r="1098" spans="1:1" x14ac:dyDescent="0.25">
      <c r="A1098" s="3" t="str">
        <f t="shared" si="18"/>
        <v/>
      </c>
    </row>
    <row r="1099" spans="1:1" x14ac:dyDescent="0.25">
      <c r="A1099" s="3" t="str">
        <f t="shared" si="18"/>
        <v/>
      </c>
    </row>
    <row r="1100" spans="1:1" x14ac:dyDescent="0.25">
      <c r="A1100" s="3" t="str">
        <f t="shared" si="18"/>
        <v/>
      </c>
    </row>
    <row r="1101" spans="1:1" x14ac:dyDescent="0.25">
      <c r="A1101" s="3" t="str">
        <f t="shared" si="18"/>
        <v/>
      </c>
    </row>
    <row r="1102" spans="1:1" x14ac:dyDescent="0.25">
      <c r="A1102" s="3" t="str">
        <f t="shared" si="18"/>
        <v/>
      </c>
    </row>
    <row r="1103" spans="1:1" x14ac:dyDescent="0.25">
      <c r="A1103" s="3" t="str">
        <f t="shared" si="18"/>
        <v/>
      </c>
    </row>
    <row r="1104" spans="1:1" x14ac:dyDescent="0.25">
      <c r="A1104" s="3" t="str">
        <f t="shared" si="18"/>
        <v/>
      </c>
    </row>
    <row r="1105" spans="1:1" x14ac:dyDescent="0.25">
      <c r="A1105" s="3" t="str">
        <f t="shared" si="18"/>
        <v/>
      </c>
    </row>
    <row r="1106" spans="1:1" x14ac:dyDescent="0.25">
      <c r="A1106" s="3" t="str">
        <f t="shared" si="18"/>
        <v/>
      </c>
    </row>
    <row r="1107" spans="1:1" x14ac:dyDescent="0.25">
      <c r="A1107" s="3" t="str">
        <f t="shared" si="18"/>
        <v/>
      </c>
    </row>
    <row r="1108" spans="1:1" x14ac:dyDescent="0.25">
      <c r="A1108" s="3" t="str">
        <f t="shared" si="18"/>
        <v/>
      </c>
    </row>
    <row r="1109" spans="1:1" x14ac:dyDescent="0.25">
      <c r="A1109" s="3" t="str">
        <f t="shared" si="18"/>
        <v/>
      </c>
    </row>
    <row r="1110" spans="1:1" x14ac:dyDescent="0.25">
      <c r="A1110" s="3" t="str">
        <f t="shared" si="18"/>
        <v/>
      </c>
    </row>
    <row r="1111" spans="1:1" x14ac:dyDescent="0.25">
      <c r="A1111" s="3" t="str">
        <f t="shared" si="18"/>
        <v/>
      </c>
    </row>
    <row r="1112" spans="1:1" x14ac:dyDescent="0.25">
      <c r="A1112" s="3" t="str">
        <f t="shared" si="18"/>
        <v/>
      </c>
    </row>
    <row r="1113" spans="1:1" x14ac:dyDescent="0.25">
      <c r="A1113" s="3" t="str">
        <f t="shared" si="18"/>
        <v/>
      </c>
    </row>
    <row r="1114" spans="1:1" x14ac:dyDescent="0.25">
      <c r="A1114" s="3" t="str">
        <f t="shared" si="18"/>
        <v/>
      </c>
    </row>
    <row r="1115" spans="1:1" x14ac:dyDescent="0.25">
      <c r="A1115" s="3" t="str">
        <f t="shared" si="18"/>
        <v/>
      </c>
    </row>
    <row r="1116" spans="1:1" x14ac:dyDescent="0.25">
      <c r="A1116" s="3" t="str">
        <f t="shared" si="18"/>
        <v/>
      </c>
    </row>
    <row r="1117" spans="1:1" x14ac:dyDescent="0.25">
      <c r="A1117" s="3" t="str">
        <f t="shared" si="18"/>
        <v/>
      </c>
    </row>
    <row r="1118" spans="1:1" x14ac:dyDescent="0.25">
      <c r="A1118" s="3" t="str">
        <f t="shared" si="18"/>
        <v/>
      </c>
    </row>
    <row r="1119" spans="1:1" x14ac:dyDescent="0.25">
      <c r="A1119" s="3" t="str">
        <f t="shared" si="18"/>
        <v/>
      </c>
    </row>
    <row r="1120" spans="1:1" x14ac:dyDescent="0.25">
      <c r="A1120" s="3" t="str">
        <f t="shared" si="18"/>
        <v/>
      </c>
    </row>
    <row r="1121" spans="1:1" x14ac:dyDescent="0.25">
      <c r="A1121" s="3" t="str">
        <f t="shared" si="18"/>
        <v/>
      </c>
    </row>
    <row r="1122" spans="1:1" x14ac:dyDescent="0.25">
      <c r="A1122" s="3" t="str">
        <f t="shared" si="18"/>
        <v/>
      </c>
    </row>
    <row r="1123" spans="1:1" x14ac:dyDescent="0.25">
      <c r="A1123" s="3" t="str">
        <f t="shared" si="18"/>
        <v/>
      </c>
    </row>
    <row r="1124" spans="1:1" x14ac:dyDescent="0.25">
      <c r="A1124" s="3" t="str">
        <f t="shared" si="18"/>
        <v/>
      </c>
    </row>
    <row r="1125" spans="1:1" x14ac:dyDescent="0.25">
      <c r="A1125" s="3" t="str">
        <f t="shared" si="18"/>
        <v/>
      </c>
    </row>
    <row r="1126" spans="1:1" x14ac:dyDescent="0.25">
      <c r="A1126" s="3" t="str">
        <f t="shared" si="18"/>
        <v/>
      </c>
    </row>
    <row r="1127" spans="1:1" x14ac:dyDescent="0.25">
      <c r="A1127" s="3" t="str">
        <f t="shared" si="18"/>
        <v/>
      </c>
    </row>
    <row r="1128" spans="1:1" x14ac:dyDescent="0.25">
      <c r="A1128" s="3" t="str">
        <f t="shared" si="18"/>
        <v/>
      </c>
    </row>
    <row r="1129" spans="1:1" x14ac:dyDescent="0.25">
      <c r="A1129" s="3" t="str">
        <f t="shared" si="18"/>
        <v/>
      </c>
    </row>
    <row r="1130" spans="1:1" x14ac:dyDescent="0.25">
      <c r="A1130" s="3" t="str">
        <f t="shared" si="18"/>
        <v/>
      </c>
    </row>
    <row r="1131" spans="1:1" x14ac:dyDescent="0.25">
      <c r="A1131" s="3" t="str">
        <f t="shared" si="18"/>
        <v/>
      </c>
    </row>
    <row r="1132" spans="1:1" x14ac:dyDescent="0.25">
      <c r="A1132" s="3" t="str">
        <f t="shared" si="18"/>
        <v/>
      </c>
    </row>
    <row r="1133" spans="1:1" x14ac:dyDescent="0.25">
      <c r="A1133" s="3" t="str">
        <f t="shared" si="18"/>
        <v/>
      </c>
    </row>
    <row r="1134" spans="1:1" x14ac:dyDescent="0.25">
      <c r="A1134" s="3" t="str">
        <f t="shared" si="18"/>
        <v/>
      </c>
    </row>
    <row r="1135" spans="1:1" x14ac:dyDescent="0.25">
      <c r="A1135" s="3" t="str">
        <f t="shared" si="18"/>
        <v/>
      </c>
    </row>
    <row r="1136" spans="1:1" x14ac:dyDescent="0.25">
      <c r="A1136" s="3" t="str">
        <f t="shared" si="18"/>
        <v/>
      </c>
    </row>
    <row r="1137" spans="1:1" x14ac:dyDescent="0.25">
      <c r="A1137" s="3" t="str">
        <f t="shared" si="18"/>
        <v/>
      </c>
    </row>
    <row r="1138" spans="1:1" x14ac:dyDescent="0.25">
      <c r="A1138" s="3" t="str">
        <f t="shared" si="18"/>
        <v/>
      </c>
    </row>
    <row r="1139" spans="1:1" x14ac:dyDescent="0.25">
      <c r="A1139" s="3" t="str">
        <f t="shared" si="18"/>
        <v/>
      </c>
    </row>
    <row r="1140" spans="1:1" x14ac:dyDescent="0.25">
      <c r="A1140" s="3" t="str">
        <f t="shared" si="18"/>
        <v/>
      </c>
    </row>
    <row r="1141" spans="1:1" x14ac:dyDescent="0.25">
      <c r="A1141" s="3" t="str">
        <f t="shared" si="18"/>
        <v/>
      </c>
    </row>
    <row r="1142" spans="1:1" x14ac:dyDescent="0.25">
      <c r="A1142" s="3" t="str">
        <f t="shared" si="18"/>
        <v/>
      </c>
    </row>
    <row r="1143" spans="1:1" x14ac:dyDescent="0.25">
      <c r="A1143" s="3" t="str">
        <f t="shared" si="18"/>
        <v/>
      </c>
    </row>
    <row r="1144" spans="1:1" x14ac:dyDescent="0.25">
      <c r="A1144" s="3" t="str">
        <f t="shared" si="18"/>
        <v/>
      </c>
    </row>
    <row r="1145" spans="1:1" x14ac:dyDescent="0.25">
      <c r="A1145" s="3" t="str">
        <f t="shared" si="18"/>
        <v/>
      </c>
    </row>
    <row r="1146" spans="1:1" x14ac:dyDescent="0.25">
      <c r="A1146" s="3" t="str">
        <f t="shared" si="18"/>
        <v/>
      </c>
    </row>
    <row r="1147" spans="1:1" x14ac:dyDescent="0.25">
      <c r="A1147" s="3" t="str">
        <f t="shared" si="18"/>
        <v/>
      </c>
    </row>
    <row r="1148" spans="1:1" x14ac:dyDescent="0.25">
      <c r="A1148" s="3" t="str">
        <f t="shared" si="18"/>
        <v/>
      </c>
    </row>
    <row r="1149" spans="1:1" x14ac:dyDescent="0.25">
      <c r="A1149" s="3" t="str">
        <f t="shared" si="18"/>
        <v/>
      </c>
    </row>
    <row r="1150" spans="1:1" x14ac:dyDescent="0.25">
      <c r="A1150" s="3" t="str">
        <f t="shared" si="18"/>
        <v/>
      </c>
    </row>
    <row r="1151" spans="1:1" x14ac:dyDescent="0.25">
      <c r="A1151" s="3" t="str">
        <f t="shared" si="18"/>
        <v/>
      </c>
    </row>
    <row r="1152" spans="1:1" x14ac:dyDescent="0.25">
      <c r="A1152" s="3" t="str">
        <f t="shared" si="18"/>
        <v/>
      </c>
    </row>
    <row r="1153" spans="1:1" x14ac:dyDescent="0.25">
      <c r="A1153" s="3" t="str">
        <f t="shared" si="18"/>
        <v/>
      </c>
    </row>
    <row r="1154" spans="1:1" x14ac:dyDescent="0.25">
      <c r="A1154" s="3" t="str">
        <f t="shared" si="18"/>
        <v/>
      </c>
    </row>
    <row r="1155" spans="1:1" x14ac:dyDescent="0.25">
      <c r="A1155" s="3" t="str">
        <f t="shared" si="18"/>
        <v/>
      </c>
    </row>
    <row r="1156" spans="1:1" x14ac:dyDescent="0.25">
      <c r="A1156" s="3" t="str">
        <f t="shared" si="18"/>
        <v/>
      </c>
    </row>
    <row r="1157" spans="1:1" x14ac:dyDescent="0.25">
      <c r="A1157" s="3" t="str">
        <f t="shared" si="18"/>
        <v/>
      </c>
    </row>
    <row r="1158" spans="1:1" x14ac:dyDescent="0.25">
      <c r="A1158" s="3" t="str">
        <f t="shared" si="18"/>
        <v/>
      </c>
    </row>
    <row r="1159" spans="1:1" x14ac:dyDescent="0.25">
      <c r="A1159" s="3" t="str">
        <f t="shared" si="18"/>
        <v/>
      </c>
    </row>
    <row r="1160" spans="1:1" x14ac:dyDescent="0.25">
      <c r="A1160" s="3" t="str">
        <f t="shared" si="18"/>
        <v/>
      </c>
    </row>
    <row r="1161" spans="1:1" x14ac:dyDescent="0.25">
      <c r="A1161" s="3" t="str">
        <f t="shared" ref="A1161:A1224" si="19">IF(B1161&lt;&gt; "",ROW(B1161) - 8,"")</f>
        <v/>
      </c>
    </row>
    <row r="1162" spans="1:1" x14ac:dyDescent="0.25">
      <c r="A1162" s="3" t="str">
        <f t="shared" si="19"/>
        <v/>
      </c>
    </row>
    <row r="1163" spans="1:1" x14ac:dyDescent="0.25">
      <c r="A1163" s="3" t="str">
        <f t="shared" si="19"/>
        <v/>
      </c>
    </row>
    <row r="1164" spans="1:1" x14ac:dyDescent="0.25">
      <c r="A1164" s="3" t="str">
        <f t="shared" si="19"/>
        <v/>
      </c>
    </row>
    <row r="1165" spans="1:1" x14ac:dyDescent="0.25">
      <c r="A1165" s="3" t="str">
        <f t="shared" si="19"/>
        <v/>
      </c>
    </row>
    <row r="1166" spans="1:1" x14ac:dyDescent="0.25">
      <c r="A1166" s="3" t="str">
        <f t="shared" si="19"/>
        <v/>
      </c>
    </row>
    <row r="1167" spans="1:1" x14ac:dyDescent="0.25">
      <c r="A1167" s="3" t="str">
        <f t="shared" si="19"/>
        <v/>
      </c>
    </row>
    <row r="1168" spans="1:1" x14ac:dyDescent="0.25">
      <c r="A1168" s="3" t="str">
        <f t="shared" si="19"/>
        <v/>
      </c>
    </row>
    <row r="1169" spans="1:1" x14ac:dyDescent="0.25">
      <c r="A1169" s="3" t="str">
        <f t="shared" si="19"/>
        <v/>
      </c>
    </row>
    <row r="1170" spans="1:1" x14ac:dyDescent="0.25">
      <c r="A1170" s="3" t="str">
        <f t="shared" si="19"/>
        <v/>
      </c>
    </row>
    <row r="1171" spans="1:1" x14ac:dyDescent="0.25">
      <c r="A1171" s="3" t="str">
        <f t="shared" si="19"/>
        <v/>
      </c>
    </row>
    <row r="1172" spans="1:1" x14ac:dyDescent="0.25">
      <c r="A1172" s="3" t="str">
        <f t="shared" si="19"/>
        <v/>
      </c>
    </row>
    <row r="1173" spans="1:1" x14ac:dyDescent="0.25">
      <c r="A1173" s="3" t="str">
        <f t="shared" si="19"/>
        <v/>
      </c>
    </row>
    <row r="1174" spans="1:1" x14ac:dyDescent="0.25">
      <c r="A1174" s="3" t="str">
        <f t="shared" si="19"/>
        <v/>
      </c>
    </row>
    <row r="1175" spans="1:1" x14ac:dyDescent="0.25">
      <c r="A1175" s="3" t="str">
        <f t="shared" si="19"/>
        <v/>
      </c>
    </row>
    <row r="1176" spans="1:1" x14ac:dyDescent="0.25">
      <c r="A1176" s="3" t="str">
        <f t="shared" si="19"/>
        <v/>
      </c>
    </row>
    <row r="1177" spans="1:1" x14ac:dyDescent="0.25">
      <c r="A1177" s="3" t="str">
        <f t="shared" si="19"/>
        <v/>
      </c>
    </row>
    <row r="1178" spans="1:1" x14ac:dyDescent="0.25">
      <c r="A1178" s="3" t="str">
        <f t="shared" si="19"/>
        <v/>
      </c>
    </row>
    <row r="1179" spans="1:1" x14ac:dyDescent="0.25">
      <c r="A1179" s="3" t="str">
        <f t="shared" si="19"/>
        <v/>
      </c>
    </row>
    <row r="1180" spans="1:1" x14ac:dyDescent="0.25">
      <c r="A1180" s="3" t="str">
        <f t="shared" si="19"/>
        <v/>
      </c>
    </row>
    <row r="1181" spans="1:1" x14ac:dyDescent="0.25">
      <c r="A1181" s="3" t="str">
        <f t="shared" si="19"/>
        <v/>
      </c>
    </row>
    <row r="1182" spans="1:1" x14ac:dyDescent="0.25">
      <c r="A1182" s="3" t="str">
        <f t="shared" si="19"/>
        <v/>
      </c>
    </row>
    <row r="1183" spans="1:1" x14ac:dyDescent="0.25">
      <c r="A1183" s="3" t="str">
        <f t="shared" si="19"/>
        <v/>
      </c>
    </row>
    <row r="1184" spans="1:1" x14ac:dyDescent="0.25">
      <c r="A1184" s="3" t="str">
        <f t="shared" si="19"/>
        <v/>
      </c>
    </row>
    <row r="1185" spans="1:1" x14ac:dyDescent="0.25">
      <c r="A1185" s="3" t="str">
        <f t="shared" si="19"/>
        <v/>
      </c>
    </row>
    <row r="1186" spans="1:1" x14ac:dyDescent="0.25">
      <c r="A1186" s="3" t="str">
        <f t="shared" si="19"/>
        <v/>
      </c>
    </row>
    <row r="1187" spans="1:1" x14ac:dyDescent="0.25">
      <c r="A1187" s="3" t="str">
        <f t="shared" si="19"/>
        <v/>
      </c>
    </row>
    <row r="1188" spans="1:1" x14ac:dyDescent="0.25">
      <c r="A1188" s="3" t="str">
        <f t="shared" si="19"/>
        <v/>
      </c>
    </row>
    <row r="1189" spans="1:1" x14ac:dyDescent="0.25">
      <c r="A1189" s="3" t="str">
        <f t="shared" si="19"/>
        <v/>
      </c>
    </row>
    <row r="1190" spans="1:1" x14ac:dyDescent="0.25">
      <c r="A1190" s="3" t="str">
        <f t="shared" si="19"/>
        <v/>
      </c>
    </row>
    <row r="1191" spans="1:1" x14ac:dyDescent="0.25">
      <c r="A1191" s="3" t="str">
        <f t="shared" si="19"/>
        <v/>
      </c>
    </row>
    <row r="1192" spans="1:1" x14ac:dyDescent="0.25">
      <c r="A1192" s="3" t="str">
        <f t="shared" si="19"/>
        <v/>
      </c>
    </row>
    <row r="1193" spans="1:1" x14ac:dyDescent="0.25">
      <c r="A1193" s="3" t="str">
        <f t="shared" si="19"/>
        <v/>
      </c>
    </row>
    <row r="1194" spans="1:1" x14ac:dyDescent="0.25">
      <c r="A1194" s="3" t="str">
        <f t="shared" si="19"/>
        <v/>
      </c>
    </row>
    <row r="1195" spans="1:1" x14ac:dyDescent="0.25">
      <c r="A1195" s="3" t="str">
        <f t="shared" si="19"/>
        <v/>
      </c>
    </row>
    <row r="1196" spans="1:1" x14ac:dyDescent="0.25">
      <c r="A1196" s="3" t="str">
        <f t="shared" si="19"/>
        <v/>
      </c>
    </row>
    <row r="1197" spans="1:1" x14ac:dyDescent="0.25">
      <c r="A1197" s="3" t="str">
        <f t="shared" si="19"/>
        <v/>
      </c>
    </row>
    <row r="1198" spans="1:1" x14ac:dyDescent="0.25">
      <c r="A1198" s="3" t="str">
        <f t="shared" si="19"/>
        <v/>
      </c>
    </row>
    <row r="1199" spans="1:1" x14ac:dyDescent="0.25">
      <c r="A1199" s="3" t="str">
        <f t="shared" si="19"/>
        <v/>
      </c>
    </row>
    <row r="1200" spans="1:1" x14ac:dyDescent="0.25">
      <c r="A1200" s="3" t="str">
        <f t="shared" si="19"/>
        <v/>
      </c>
    </row>
    <row r="1201" spans="1:1" x14ac:dyDescent="0.25">
      <c r="A1201" s="3" t="str">
        <f t="shared" si="19"/>
        <v/>
      </c>
    </row>
    <row r="1202" spans="1:1" x14ac:dyDescent="0.25">
      <c r="A1202" s="3" t="str">
        <f t="shared" si="19"/>
        <v/>
      </c>
    </row>
    <row r="1203" spans="1:1" x14ac:dyDescent="0.25">
      <c r="A1203" s="3" t="str">
        <f t="shared" si="19"/>
        <v/>
      </c>
    </row>
    <row r="1204" spans="1:1" x14ac:dyDescent="0.25">
      <c r="A1204" s="3" t="str">
        <f t="shared" si="19"/>
        <v/>
      </c>
    </row>
    <row r="1205" spans="1:1" x14ac:dyDescent="0.25">
      <c r="A1205" s="3" t="str">
        <f t="shared" si="19"/>
        <v/>
      </c>
    </row>
    <row r="1206" spans="1:1" x14ac:dyDescent="0.25">
      <c r="A1206" s="3" t="str">
        <f t="shared" si="19"/>
        <v/>
      </c>
    </row>
    <row r="1207" spans="1:1" x14ac:dyDescent="0.25">
      <c r="A1207" s="3" t="str">
        <f t="shared" si="19"/>
        <v/>
      </c>
    </row>
    <row r="1208" spans="1:1" x14ac:dyDescent="0.25">
      <c r="A1208" s="3" t="str">
        <f t="shared" si="19"/>
        <v/>
      </c>
    </row>
    <row r="1209" spans="1:1" x14ac:dyDescent="0.25">
      <c r="A1209" s="3" t="str">
        <f t="shared" si="19"/>
        <v/>
      </c>
    </row>
    <row r="1210" spans="1:1" x14ac:dyDescent="0.25">
      <c r="A1210" s="3" t="str">
        <f t="shared" si="19"/>
        <v/>
      </c>
    </row>
    <row r="1211" spans="1:1" x14ac:dyDescent="0.25">
      <c r="A1211" s="3" t="str">
        <f t="shared" si="19"/>
        <v/>
      </c>
    </row>
    <row r="1212" spans="1:1" x14ac:dyDescent="0.25">
      <c r="A1212" s="3" t="str">
        <f t="shared" si="19"/>
        <v/>
      </c>
    </row>
    <row r="1213" spans="1:1" x14ac:dyDescent="0.25">
      <c r="A1213" s="3" t="str">
        <f t="shared" si="19"/>
        <v/>
      </c>
    </row>
    <row r="1214" spans="1:1" x14ac:dyDescent="0.25">
      <c r="A1214" s="3" t="str">
        <f t="shared" si="19"/>
        <v/>
      </c>
    </row>
    <row r="1215" spans="1:1" x14ac:dyDescent="0.25">
      <c r="A1215" s="3" t="str">
        <f t="shared" si="19"/>
        <v/>
      </c>
    </row>
    <row r="1216" spans="1:1" x14ac:dyDescent="0.25">
      <c r="A1216" s="3" t="str">
        <f t="shared" si="19"/>
        <v/>
      </c>
    </row>
    <row r="1217" spans="1:1" x14ac:dyDescent="0.25">
      <c r="A1217" s="3" t="str">
        <f t="shared" si="19"/>
        <v/>
      </c>
    </row>
    <row r="1218" spans="1:1" x14ac:dyDescent="0.25">
      <c r="A1218" s="3" t="str">
        <f t="shared" si="19"/>
        <v/>
      </c>
    </row>
    <row r="1219" spans="1:1" x14ac:dyDescent="0.25">
      <c r="A1219" s="3" t="str">
        <f t="shared" si="19"/>
        <v/>
      </c>
    </row>
    <row r="1220" spans="1:1" x14ac:dyDescent="0.25">
      <c r="A1220" s="3" t="str">
        <f t="shared" si="19"/>
        <v/>
      </c>
    </row>
    <row r="1221" spans="1:1" x14ac:dyDescent="0.25">
      <c r="A1221" s="3" t="str">
        <f t="shared" si="19"/>
        <v/>
      </c>
    </row>
    <row r="1222" spans="1:1" x14ac:dyDescent="0.25">
      <c r="A1222" s="3" t="str">
        <f t="shared" si="19"/>
        <v/>
      </c>
    </row>
    <row r="1223" spans="1:1" x14ac:dyDescent="0.25">
      <c r="A1223" s="3" t="str">
        <f t="shared" si="19"/>
        <v/>
      </c>
    </row>
    <row r="1224" spans="1:1" x14ac:dyDescent="0.25">
      <c r="A1224" s="3" t="str">
        <f t="shared" si="19"/>
        <v/>
      </c>
    </row>
    <row r="1225" spans="1:1" x14ac:dyDescent="0.25">
      <c r="A1225" s="3" t="str">
        <f t="shared" ref="A1225:A1288" si="20">IF(B1225&lt;&gt; "",ROW(B1225) - 8,"")</f>
        <v/>
      </c>
    </row>
    <row r="1226" spans="1:1" x14ac:dyDescent="0.25">
      <c r="A1226" s="3" t="str">
        <f t="shared" si="20"/>
        <v/>
      </c>
    </row>
    <row r="1227" spans="1:1" x14ac:dyDescent="0.25">
      <c r="A1227" s="3" t="str">
        <f t="shared" si="20"/>
        <v/>
      </c>
    </row>
    <row r="1228" spans="1:1" x14ac:dyDescent="0.25">
      <c r="A1228" s="3" t="str">
        <f t="shared" si="20"/>
        <v/>
      </c>
    </row>
    <row r="1229" spans="1:1" x14ac:dyDescent="0.25">
      <c r="A1229" s="3" t="str">
        <f t="shared" si="20"/>
        <v/>
      </c>
    </row>
    <row r="1230" spans="1:1" x14ac:dyDescent="0.25">
      <c r="A1230" s="3" t="str">
        <f t="shared" si="20"/>
        <v/>
      </c>
    </row>
    <row r="1231" spans="1:1" x14ac:dyDescent="0.25">
      <c r="A1231" s="3" t="str">
        <f t="shared" si="20"/>
        <v/>
      </c>
    </row>
    <row r="1232" spans="1:1" x14ac:dyDescent="0.25">
      <c r="A1232" s="3" t="str">
        <f t="shared" si="20"/>
        <v/>
      </c>
    </row>
    <row r="1233" spans="1:1" x14ac:dyDescent="0.25">
      <c r="A1233" s="3" t="str">
        <f t="shared" si="20"/>
        <v/>
      </c>
    </row>
    <row r="1234" spans="1:1" x14ac:dyDescent="0.25">
      <c r="A1234" s="3" t="str">
        <f t="shared" si="20"/>
        <v/>
      </c>
    </row>
    <row r="1235" spans="1:1" x14ac:dyDescent="0.25">
      <c r="A1235" s="3" t="str">
        <f t="shared" si="20"/>
        <v/>
      </c>
    </row>
    <row r="1236" spans="1:1" x14ac:dyDescent="0.25">
      <c r="A1236" s="3" t="str">
        <f t="shared" si="20"/>
        <v/>
      </c>
    </row>
    <row r="1237" spans="1:1" x14ac:dyDescent="0.25">
      <c r="A1237" s="3" t="str">
        <f t="shared" si="20"/>
        <v/>
      </c>
    </row>
    <row r="1238" spans="1:1" x14ac:dyDescent="0.25">
      <c r="A1238" s="3" t="str">
        <f t="shared" si="20"/>
        <v/>
      </c>
    </row>
    <row r="1239" spans="1:1" x14ac:dyDescent="0.25">
      <c r="A1239" s="3" t="str">
        <f t="shared" si="20"/>
        <v/>
      </c>
    </row>
    <row r="1240" spans="1:1" x14ac:dyDescent="0.25">
      <c r="A1240" s="3" t="str">
        <f t="shared" si="20"/>
        <v/>
      </c>
    </row>
    <row r="1241" spans="1:1" x14ac:dyDescent="0.25">
      <c r="A1241" s="3" t="str">
        <f t="shared" si="20"/>
        <v/>
      </c>
    </row>
    <row r="1242" spans="1:1" x14ac:dyDescent="0.25">
      <c r="A1242" s="3" t="str">
        <f t="shared" si="20"/>
        <v/>
      </c>
    </row>
    <row r="1243" spans="1:1" x14ac:dyDescent="0.25">
      <c r="A1243" s="3" t="str">
        <f t="shared" si="20"/>
        <v/>
      </c>
    </row>
    <row r="1244" spans="1:1" x14ac:dyDescent="0.25">
      <c r="A1244" s="3" t="str">
        <f t="shared" si="20"/>
        <v/>
      </c>
    </row>
    <row r="1245" spans="1:1" x14ac:dyDescent="0.25">
      <c r="A1245" s="3" t="str">
        <f t="shared" si="20"/>
        <v/>
      </c>
    </row>
    <row r="1246" spans="1:1" x14ac:dyDescent="0.25">
      <c r="A1246" s="3" t="str">
        <f t="shared" si="20"/>
        <v/>
      </c>
    </row>
    <row r="1247" spans="1:1" x14ac:dyDescent="0.25">
      <c r="A1247" s="3" t="str">
        <f t="shared" si="20"/>
        <v/>
      </c>
    </row>
    <row r="1248" spans="1:1" x14ac:dyDescent="0.25">
      <c r="A1248" s="3" t="str">
        <f t="shared" si="20"/>
        <v/>
      </c>
    </row>
    <row r="1249" spans="1:1" x14ac:dyDescent="0.25">
      <c r="A1249" s="3" t="str">
        <f t="shared" si="20"/>
        <v/>
      </c>
    </row>
    <row r="1250" spans="1:1" x14ac:dyDescent="0.25">
      <c r="A1250" s="3" t="str">
        <f t="shared" si="20"/>
        <v/>
      </c>
    </row>
    <row r="1251" spans="1:1" x14ac:dyDescent="0.25">
      <c r="A1251" s="3" t="str">
        <f t="shared" si="20"/>
        <v/>
      </c>
    </row>
    <row r="1252" spans="1:1" x14ac:dyDescent="0.25">
      <c r="A1252" s="3" t="str">
        <f t="shared" si="20"/>
        <v/>
      </c>
    </row>
    <row r="1253" spans="1:1" x14ac:dyDescent="0.25">
      <c r="A1253" s="3" t="str">
        <f t="shared" si="20"/>
        <v/>
      </c>
    </row>
    <row r="1254" spans="1:1" x14ac:dyDescent="0.25">
      <c r="A1254" s="3" t="str">
        <f t="shared" si="20"/>
        <v/>
      </c>
    </row>
    <row r="1255" spans="1:1" x14ac:dyDescent="0.25">
      <c r="A1255" s="3" t="str">
        <f t="shared" si="20"/>
        <v/>
      </c>
    </row>
    <row r="1256" spans="1:1" x14ac:dyDescent="0.25">
      <c r="A1256" s="3" t="str">
        <f t="shared" si="20"/>
        <v/>
      </c>
    </row>
    <row r="1257" spans="1:1" x14ac:dyDescent="0.25">
      <c r="A1257" s="3" t="str">
        <f t="shared" si="20"/>
        <v/>
      </c>
    </row>
    <row r="1258" spans="1:1" x14ac:dyDescent="0.25">
      <c r="A1258" s="3" t="str">
        <f t="shared" si="20"/>
        <v/>
      </c>
    </row>
    <row r="1259" spans="1:1" x14ac:dyDescent="0.25">
      <c r="A1259" s="3" t="str">
        <f t="shared" si="20"/>
        <v/>
      </c>
    </row>
    <row r="1260" spans="1:1" x14ac:dyDescent="0.25">
      <c r="A1260" s="3" t="str">
        <f t="shared" si="20"/>
        <v/>
      </c>
    </row>
    <row r="1261" spans="1:1" x14ac:dyDescent="0.25">
      <c r="A1261" s="3" t="str">
        <f t="shared" si="20"/>
        <v/>
      </c>
    </row>
    <row r="1262" spans="1:1" x14ac:dyDescent="0.25">
      <c r="A1262" s="3" t="str">
        <f t="shared" si="20"/>
        <v/>
      </c>
    </row>
    <row r="1263" spans="1:1" x14ac:dyDescent="0.25">
      <c r="A1263" s="3" t="str">
        <f t="shared" si="20"/>
        <v/>
      </c>
    </row>
    <row r="1264" spans="1:1" x14ac:dyDescent="0.25">
      <c r="A1264" s="3" t="str">
        <f t="shared" si="20"/>
        <v/>
      </c>
    </row>
    <row r="1265" spans="1:1" x14ac:dyDescent="0.25">
      <c r="A1265" s="3" t="str">
        <f t="shared" si="20"/>
        <v/>
      </c>
    </row>
    <row r="1266" spans="1:1" x14ac:dyDescent="0.25">
      <c r="A1266" s="3" t="str">
        <f t="shared" si="20"/>
        <v/>
      </c>
    </row>
    <row r="1267" spans="1:1" x14ac:dyDescent="0.25">
      <c r="A1267" s="3" t="str">
        <f t="shared" si="20"/>
        <v/>
      </c>
    </row>
    <row r="1268" spans="1:1" x14ac:dyDescent="0.25">
      <c r="A1268" s="3" t="str">
        <f t="shared" si="20"/>
        <v/>
      </c>
    </row>
    <row r="1269" spans="1:1" x14ac:dyDescent="0.25">
      <c r="A1269" s="3" t="str">
        <f t="shared" si="20"/>
        <v/>
      </c>
    </row>
    <row r="1270" spans="1:1" x14ac:dyDescent="0.25">
      <c r="A1270" s="3" t="str">
        <f t="shared" si="20"/>
        <v/>
      </c>
    </row>
    <row r="1271" spans="1:1" x14ac:dyDescent="0.25">
      <c r="A1271" s="3" t="str">
        <f t="shared" si="20"/>
        <v/>
      </c>
    </row>
    <row r="1272" spans="1:1" x14ac:dyDescent="0.25">
      <c r="A1272" s="3" t="str">
        <f t="shared" si="20"/>
        <v/>
      </c>
    </row>
    <row r="1273" spans="1:1" x14ac:dyDescent="0.25">
      <c r="A1273" s="3" t="str">
        <f t="shared" si="20"/>
        <v/>
      </c>
    </row>
    <row r="1274" spans="1:1" x14ac:dyDescent="0.25">
      <c r="A1274" s="3" t="str">
        <f t="shared" si="20"/>
        <v/>
      </c>
    </row>
    <row r="1275" spans="1:1" x14ac:dyDescent="0.25">
      <c r="A1275" s="3" t="str">
        <f t="shared" si="20"/>
        <v/>
      </c>
    </row>
    <row r="1276" spans="1:1" x14ac:dyDescent="0.25">
      <c r="A1276" s="3" t="str">
        <f t="shared" si="20"/>
        <v/>
      </c>
    </row>
    <row r="1277" spans="1:1" x14ac:dyDescent="0.25">
      <c r="A1277" s="3" t="str">
        <f t="shared" si="20"/>
        <v/>
      </c>
    </row>
    <row r="1278" spans="1:1" x14ac:dyDescent="0.25">
      <c r="A1278" s="3" t="str">
        <f t="shared" si="20"/>
        <v/>
      </c>
    </row>
    <row r="1279" spans="1:1" x14ac:dyDescent="0.25">
      <c r="A1279" s="3" t="str">
        <f t="shared" si="20"/>
        <v/>
      </c>
    </row>
    <row r="1280" spans="1:1" x14ac:dyDescent="0.25">
      <c r="A1280" s="3" t="str">
        <f t="shared" si="20"/>
        <v/>
      </c>
    </row>
    <row r="1281" spans="1:1" x14ac:dyDescent="0.25">
      <c r="A1281" s="3" t="str">
        <f t="shared" si="20"/>
        <v/>
      </c>
    </row>
    <row r="1282" spans="1:1" x14ac:dyDescent="0.25">
      <c r="A1282" s="3" t="str">
        <f t="shared" si="20"/>
        <v/>
      </c>
    </row>
    <row r="1283" spans="1:1" x14ac:dyDescent="0.25">
      <c r="A1283" s="3" t="str">
        <f t="shared" si="20"/>
        <v/>
      </c>
    </row>
    <row r="1284" spans="1:1" x14ac:dyDescent="0.25">
      <c r="A1284" s="3" t="str">
        <f t="shared" si="20"/>
        <v/>
      </c>
    </row>
    <row r="1285" spans="1:1" x14ac:dyDescent="0.25">
      <c r="A1285" s="3" t="str">
        <f t="shared" si="20"/>
        <v/>
      </c>
    </row>
    <row r="1286" spans="1:1" x14ac:dyDescent="0.25">
      <c r="A1286" s="3" t="str">
        <f t="shared" si="20"/>
        <v/>
      </c>
    </row>
    <row r="1287" spans="1:1" x14ac:dyDescent="0.25">
      <c r="A1287" s="3" t="str">
        <f t="shared" si="20"/>
        <v/>
      </c>
    </row>
    <row r="1288" spans="1:1" x14ac:dyDescent="0.25">
      <c r="A1288" s="3" t="str">
        <f t="shared" si="20"/>
        <v/>
      </c>
    </row>
    <row r="1289" spans="1:1" x14ac:dyDescent="0.25">
      <c r="A1289" s="3" t="str">
        <f t="shared" ref="A1289:A1352" si="21">IF(B1289&lt;&gt; "",ROW(B1289) - 8,"")</f>
        <v/>
      </c>
    </row>
    <row r="1290" spans="1:1" x14ac:dyDescent="0.25">
      <c r="A1290" s="3" t="str">
        <f t="shared" si="21"/>
        <v/>
      </c>
    </row>
    <row r="1291" spans="1:1" x14ac:dyDescent="0.25">
      <c r="A1291" s="3" t="str">
        <f t="shared" si="21"/>
        <v/>
      </c>
    </row>
    <row r="1292" spans="1:1" x14ac:dyDescent="0.25">
      <c r="A1292" s="3" t="str">
        <f t="shared" si="21"/>
        <v/>
      </c>
    </row>
    <row r="1293" spans="1:1" x14ac:dyDescent="0.25">
      <c r="A1293" s="3" t="str">
        <f t="shared" si="21"/>
        <v/>
      </c>
    </row>
    <row r="1294" spans="1:1" x14ac:dyDescent="0.25">
      <c r="A1294" s="3" t="str">
        <f t="shared" si="21"/>
        <v/>
      </c>
    </row>
    <row r="1295" spans="1:1" x14ac:dyDescent="0.25">
      <c r="A1295" s="3" t="str">
        <f t="shared" si="21"/>
        <v/>
      </c>
    </row>
    <row r="1296" spans="1:1" x14ac:dyDescent="0.25">
      <c r="A1296" s="3" t="str">
        <f t="shared" si="21"/>
        <v/>
      </c>
    </row>
    <row r="1297" spans="1:1" x14ac:dyDescent="0.25">
      <c r="A1297" s="3" t="str">
        <f t="shared" si="21"/>
        <v/>
      </c>
    </row>
    <row r="1298" spans="1:1" x14ac:dyDescent="0.25">
      <c r="A1298" s="3" t="str">
        <f t="shared" si="21"/>
        <v/>
      </c>
    </row>
    <row r="1299" spans="1:1" x14ac:dyDescent="0.25">
      <c r="A1299" s="3" t="str">
        <f t="shared" si="21"/>
        <v/>
      </c>
    </row>
    <row r="1300" spans="1:1" x14ac:dyDescent="0.25">
      <c r="A1300" s="3" t="str">
        <f t="shared" si="21"/>
        <v/>
      </c>
    </row>
    <row r="1301" spans="1:1" x14ac:dyDescent="0.25">
      <c r="A1301" s="3" t="str">
        <f t="shared" si="21"/>
        <v/>
      </c>
    </row>
    <row r="1302" spans="1:1" x14ac:dyDescent="0.25">
      <c r="A1302" s="3" t="str">
        <f t="shared" si="21"/>
        <v/>
      </c>
    </row>
    <row r="1303" spans="1:1" x14ac:dyDescent="0.25">
      <c r="A1303" s="3" t="str">
        <f t="shared" si="21"/>
        <v/>
      </c>
    </row>
    <row r="1304" spans="1:1" x14ac:dyDescent="0.25">
      <c r="A1304" s="3" t="str">
        <f t="shared" si="21"/>
        <v/>
      </c>
    </row>
    <row r="1305" spans="1:1" x14ac:dyDescent="0.25">
      <c r="A1305" s="3" t="str">
        <f t="shared" si="21"/>
        <v/>
      </c>
    </row>
    <row r="1306" spans="1:1" x14ac:dyDescent="0.25">
      <c r="A1306" s="3" t="str">
        <f t="shared" si="21"/>
        <v/>
      </c>
    </row>
    <row r="1307" spans="1:1" x14ac:dyDescent="0.25">
      <c r="A1307" s="3" t="str">
        <f t="shared" si="21"/>
        <v/>
      </c>
    </row>
    <row r="1308" spans="1:1" x14ac:dyDescent="0.25">
      <c r="A1308" s="3" t="str">
        <f t="shared" si="21"/>
        <v/>
      </c>
    </row>
    <row r="1309" spans="1:1" x14ac:dyDescent="0.25">
      <c r="A1309" s="3" t="str">
        <f t="shared" si="21"/>
        <v/>
      </c>
    </row>
    <row r="1310" spans="1:1" x14ac:dyDescent="0.25">
      <c r="A1310" s="3" t="str">
        <f t="shared" si="21"/>
        <v/>
      </c>
    </row>
    <row r="1311" spans="1:1" x14ac:dyDescent="0.25">
      <c r="A1311" s="3" t="str">
        <f t="shared" si="21"/>
        <v/>
      </c>
    </row>
    <row r="1312" spans="1:1" x14ac:dyDescent="0.25">
      <c r="A1312" s="3" t="str">
        <f t="shared" si="21"/>
        <v/>
      </c>
    </row>
    <row r="1313" spans="1:1" x14ac:dyDescent="0.25">
      <c r="A1313" s="3" t="str">
        <f t="shared" si="21"/>
        <v/>
      </c>
    </row>
    <row r="1314" spans="1:1" x14ac:dyDescent="0.25">
      <c r="A1314" s="3" t="str">
        <f t="shared" si="21"/>
        <v/>
      </c>
    </row>
    <row r="1315" spans="1:1" x14ac:dyDescent="0.25">
      <c r="A1315" s="3" t="str">
        <f t="shared" si="21"/>
        <v/>
      </c>
    </row>
    <row r="1316" spans="1:1" x14ac:dyDescent="0.25">
      <c r="A1316" s="3" t="str">
        <f t="shared" si="21"/>
        <v/>
      </c>
    </row>
    <row r="1317" spans="1:1" x14ac:dyDescent="0.25">
      <c r="A1317" s="3" t="str">
        <f t="shared" si="21"/>
        <v/>
      </c>
    </row>
    <row r="1318" spans="1:1" x14ac:dyDescent="0.25">
      <c r="A1318" s="3" t="str">
        <f t="shared" si="21"/>
        <v/>
      </c>
    </row>
    <row r="1319" spans="1:1" x14ac:dyDescent="0.25">
      <c r="A1319" s="3" t="str">
        <f t="shared" si="21"/>
        <v/>
      </c>
    </row>
    <row r="1320" spans="1:1" x14ac:dyDescent="0.25">
      <c r="A1320" s="3" t="str">
        <f t="shared" si="21"/>
        <v/>
      </c>
    </row>
    <row r="1321" spans="1:1" x14ac:dyDescent="0.25">
      <c r="A1321" s="3" t="str">
        <f t="shared" si="21"/>
        <v/>
      </c>
    </row>
    <row r="1322" spans="1:1" x14ac:dyDescent="0.25">
      <c r="A1322" s="3" t="str">
        <f t="shared" si="21"/>
        <v/>
      </c>
    </row>
    <row r="1323" spans="1:1" x14ac:dyDescent="0.25">
      <c r="A1323" s="3" t="str">
        <f t="shared" si="21"/>
        <v/>
      </c>
    </row>
    <row r="1324" spans="1:1" x14ac:dyDescent="0.25">
      <c r="A1324" s="3" t="str">
        <f t="shared" si="21"/>
        <v/>
      </c>
    </row>
    <row r="1325" spans="1:1" x14ac:dyDescent="0.25">
      <c r="A1325" s="3" t="str">
        <f t="shared" si="21"/>
        <v/>
      </c>
    </row>
    <row r="1326" spans="1:1" x14ac:dyDescent="0.25">
      <c r="A1326" s="3" t="str">
        <f t="shared" si="21"/>
        <v/>
      </c>
    </row>
    <row r="1327" spans="1:1" x14ac:dyDescent="0.25">
      <c r="A1327" s="3" t="str">
        <f t="shared" si="21"/>
        <v/>
      </c>
    </row>
    <row r="1328" spans="1:1" x14ac:dyDescent="0.25">
      <c r="A1328" s="3" t="str">
        <f t="shared" si="21"/>
        <v/>
      </c>
    </row>
    <row r="1329" spans="1:1" x14ac:dyDescent="0.25">
      <c r="A1329" s="3" t="str">
        <f t="shared" si="21"/>
        <v/>
      </c>
    </row>
    <row r="1330" spans="1:1" x14ac:dyDescent="0.25">
      <c r="A1330" s="3" t="str">
        <f t="shared" si="21"/>
        <v/>
      </c>
    </row>
    <row r="1331" spans="1:1" x14ac:dyDescent="0.25">
      <c r="A1331" s="3" t="str">
        <f t="shared" si="21"/>
        <v/>
      </c>
    </row>
    <row r="1332" spans="1:1" x14ac:dyDescent="0.25">
      <c r="A1332" s="3" t="str">
        <f t="shared" si="21"/>
        <v/>
      </c>
    </row>
    <row r="1333" spans="1:1" x14ac:dyDescent="0.25">
      <c r="A1333" s="3" t="str">
        <f t="shared" si="21"/>
        <v/>
      </c>
    </row>
    <row r="1334" spans="1:1" x14ac:dyDescent="0.25">
      <c r="A1334" s="3" t="str">
        <f t="shared" si="21"/>
        <v/>
      </c>
    </row>
    <row r="1335" spans="1:1" x14ac:dyDescent="0.25">
      <c r="A1335" s="3" t="str">
        <f t="shared" si="21"/>
        <v/>
      </c>
    </row>
    <row r="1336" spans="1:1" x14ac:dyDescent="0.25">
      <c r="A1336" s="3" t="str">
        <f t="shared" si="21"/>
        <v/>
      </c>
    </row>
    <row r="1337" spans="1:1" x14ac:dyDescent="0.25">
      <c r="A1337" s="3" t="str">
        <f t="shared" si="21"/>
        <v/>
      </c>
    </row>
    <row r="1338" spans="1:1" x14ac:dyDescent="0.25">
      <c r="A1338" s="3" t="str">
        <f t="shared" si="21"/>
        <v/>
      </c>
    </row>
    <row r="1339" spans="1:1" x14ac:dyDescent="0.25">
      <c r="A1339" s="3" t="str">
        <f t="shared" si="21"/>
        <v/>
      </c>
    </row>
    <row r="1340" spans="1:1" x14ac:dyDescent="0.25">
      <c r="A1340" s="3" t="str">
        <f t="shared" si="21"/>
        <v/>
      </c>
    </row>
    <row r="1341" spans="1:1" x14ac:dyDescent="0.25">
      <c r="A1341" s="3" t="str">
        <f t="shared" si="21"/>
        <v/>
      </c>
    </row>
    <row r="1342" spans="1:1" x14ac:dyDescent="0.25">
      <c r="A1342" s="3" t="str">
        <f t="shared" si="21"/>
        <v/>
      </c>
    </row>
    <row r="1343" spans="1:1" x14ac:dyDescent="0.25">
      <c r="A1343" s="3" t="str">
        <f t="shared" si="21"/>
        <v/>
      </c>
    </row>
    <row r="1344" spans="1:1" x14ac:dyDescent="0.25">
      <c r="A1344" s="3" t="str">
        <f t="shared" si="21"/>
        <v/>
      </c>
    </row>
    <row r="1345" spans="1:1" x14ac:dyDescent="0.25">
      <c r="A1345" s="3" t="str">
        <f t="shared" si="21"/>
        <v/>
      </c>
    </row>
    <row r="1346" spans="1:1" x14ac:dyDescent="0.25">
      <c r="A1346" s="3" t="str">
        <f t="shared" si="21"/>
        <v/>
      </c>
    </row>
    <row r="1347" spans="1:1" x14ac:dyDescent="0.25">
      <c r="A1347" s="3" t="str">
        <f t="shared" si="21"/>
        <v/>
      </c>
    </row>
    <row r="1348" spans="1:1" x14ac:dyDescent="0.25">
      <c r="A1348" s="3" t="str">
        <f t="shared" si="21"/>
        <v/>
      </c>
    </row>
    <row r="1349" spans="1:1" x14ac:dyDescent="0.25">
      <c r="A1349" s="3" t="str">
        <f t="shared" si="21"/>
        <v/>
      </c>
    </row>
    <row r="1350" spans="1:1" x14ac:dyDescent="0.25">
      <c r="A1350" s="3" t="str">
        <f t="shared" si="21"/>
        <v/>
      </c>
    </row>
    <row r="1351" spans="1:1" x14ac:dyDescent="0.25">
      <c r="A1351" s="3" t="str">
        <f t="shared" si="21"/>
        <v/>
      </c>
    </row>
    <row r="1352" spans="1:1" x14ac:dyDescent="0.25">
      <c r="A1352" s="3" t="str">
        <f t="shared" si="21"/>
        <v/>
      </c>
    </row>
    <row r="1353" spans="1:1" x14ac:dyDescent="0.25">
      <c r="A1353" s="3" t="str">
        <f t="shared" ref="A1353:A1416" si="22">IF(B1353&lt;&gt; "",ROW(B1353) - 8,"")</f>
        <v/>
      </c>
    </row>
    <row r="1354" spans="1:1" x14ac:dyDescent="0.25">
      <c r="A1354" s="3" t="str">
        <f t="shared" si="22"/>
        <v/>
      </c>
    </row>
    <row r="1355" spans="1:1" x14ac:dyDescent="0.25">
      <c r="A1355" s="3" t="str">
        <f t="shared" si="22"/>
        <v/>
      </c>
    </row>
    <row r="1356" spans="1:1" x14ac:dyDescent="0.25">
      <c r="A1356" s="3" t="str">
        <f t="shared" si="22"/>
        <v/>
      </c>
    </row>
    <row r="1357" spans="1:1" x14ac:dyDescent="0.25">
      <c r="A1357" s="3" t="str">
        <f t="shared" si="22"/>
        <v/>
      </c>
    </row>
    <row r="1358" spans="1:1" x14ac:dyDescent="0.25">
      <c r="A1358" s="3" t="str">
        <f t="shared" si="22"/>
        <v/>
      </c>
    </row>
    <row r="1359" spans="1:1" x14ac:dyDescent="0.25">
      <c r="A1359" s="3" t="str">
        <f t="shared" si="22"/>
        <v/>
      </c>
    </row>
    <row r="1360" spans="1:1" x14ac:dyDescent="0.25">
      <c r="A1360" s="3" t="str">
        <f t="shared" si="22"/>
        <v/>
      </c>
    </row>
    <row r="1361" spans="1:1" x14ac:dyDescent="0.25">
      <c r="A1361" s="3" t="str">
        <f t="shared" si="22"/>
        <v/>
      </c>
    </row>
    <row r="1362" spans="1:1" x14ac:dyDescent="0.25">
      <c r="A1362" s="3" t="str">
        <f t="shared" si="22"/>
        <v/>
      </c>
    </row>
    <row r="1363" spans="1:1" x14ac:dyDescent="0.25">
      <c r="A1363" s="3" t="str">
        <f t="shared" si="22"/>
        <v/>
      </c>
    </row>
    <row r="1364" spans="1:1" x14ac:dyDescent="0.25">
      <c r="A1364" s="3" t="str">
        <f t="shared" si="22"/>
        <v/>
      </c>
    </row>
    <row r="1365" spans="1:1" x14ac:dyDescent="0.25">
      <c r="A1365" s="3" t="str">
        <f t="shared" si="22"/>
        <v/>
      </c>
    </row>
    <row r="1366" spans="1:1" x14ac:dyDescent="0.25">
      <c r="A1366" s="3" t="str">
        <f t="shared" si="22"/>
        <v/>
      </c>
    </row>
    <row r="1367" spans="1:1" x14ac:dyDescent="0.25">
      <c r="A1367" s="3" t="str">
        <f t="shared" si="22"/>
        <v/>
      </c>
    </row>
    <row r="1368" spans="1:1" x14ac:dyDescent="0.25">
      <c r="A1368" s="3" t="str">
        <f t="shared" si="22"/>
        <v/>
      </c>
    </row>
    <row r="1369" spans="1:1" x14ac:dyDescent="0.25">
      <c r="A1369" s="3" t="str">
        <f t="shared" si="22"/>
        <v/>
      </c>
    </row>
    <row r="1370" spans="1:1" x14ac:dyDescent="0.25">
      <c r="A1370" s="3" t="str">
        <f t="shared" si="22"/>
        <v/>
      </c>
    </row>
    <row r="1371" spans="1:1" x14ac:dyDescent="0.25">
      <c r="A1371" s="3" t="str">
        <f t="shared" si="22"/>
        <v/>
      </c>
    </row>
    <row r="1372" spans="1:1" x14ac:dyDescent="0.25">
      <c r="A1372" s="3" t="str">
        <f t="shared" si="22"/>
        <v/>
      </c>
    </row>
    <row r="1373" spans="1:1" x14ac:dyDescent="0.25">
      <c r="A1373" s="3" t="str">
        <f t="shared" si="22"/>
        <v/>
      </c>
    </row>
    <row r="1374" spans="1:1" x14ac:dyDescent="0.25">
      <c r="A1374" s="3" t="str">
        <f t="shared" si="22"/>
        <v/>
      </c>
    </row>
    <row r="1375" spans="1:1" x14ac:dyDescent="0.25">
      <c r="A1375" s="3" t="str">
        <f t="shared" si="22"/>
        <v/>
      </c>
    </row>
    <row r="1376" spans="1:1" x14ac:dyDescent="0.25">
      <c r="A1376" s="3" t="str">
        <f t="shared" si="22"/>
        <v/>
      </c>
    </row>
    <row r="1377" spans="1:1" x14ac:dyDescent="0.25">
      <c r="A1377" s="3" t="str">
        <f t="shared" si="22"/>
        <v/>
      </c>
    </row>
    <row r="1378" spans="1:1" x14ac:dyDescent="0.25">
      <c r="A1378" s="3" t="str">
        <f t="shared" si="22"/>
        <v/>
      </c>
    </row>
    <row r="1379" spans="1:1" x14ac:dyDescent="0.25">
      <c r="A1379" s="3" t="str">
        <f t="shared" si="22"/>
        <v/>
      </c>
    </row>
    <row r="1380" spans="1:1" x14ac:dyDescent="0.25">
      <c r="A1380" s="3" t="str">
        <f t="shared" si="22"/>
        <v/>
      </c>
    </row>
    <row r="1381" spans="1:1" x14ac:dyDescent="0.25">
      <c r="A1381" s="3" t="str">
        <f t="shared" si="22"/>
        <v/>
      </c>
    </row>
    <row r="1382" spans="1:1" x14ac:dyDescent="0.25">
      <c r="A1382" s="3" t="str">
        <f t="shared" si="22"/>
        <v/>
      </c>
    </row>
    <row r="1383" spans="1:1" x14ac:dyDescent="0.25">
      <c r="A1383" s="3" t="str">
        <f t="shared" si="22"/>
        <v/>
      </c>
    </row>
    <row r="1384" spans="1:1" x14ac:dyDescent="0.25">
      <c r="A1384" s="3" t="str">
        <f t="shared" si="22"/>
        <v/>
      </c>
    </row>
    <row r="1385" spans="1:1" x14ac:dyDescent="0.25">
      <c r="A1385" s="3" t="str">
        <f t="shared" si="22"/>
        <v/>
      </c>
    </row>
    <row r="1386" spans="1:1" x14ac:dyDescent="0.25">
      <c r="A1386" s="3" t="str">
        <f t="shared" si="22"/>
        <v/>
      </c>
    </row>
    <row r="1387" spans="1:1" x14ac:dyDescent="0.25">
      <c r="A1387" s="3" t="str">
        <f t="shared" si="22"/>
        <v/>
      </c>
    </row>
    <row r="1388" spans="1:1" x14ac:dyDescent="0.25">
      <c r="A1388" s="3" t="str">
        <f t="shared" si="22"/>
        <v/>
      </c>
    </row>
    <row r="1389" spans="1:1" x14ac:dyDescent="0.25">
      <c r="A1389" s="3" t="str">
        <f t="shared" si="22"/>
        <v/>
      </c>
    </row>
    <row r="1390" spans="1:1" x14ac:dyDescent="0.25">
      <c r="A1390" s="3" t="str">
        <f t="shared" si="22"/>
        <v/>
      </c>
    </row>
    <row r="1391" spans="1:1" x14ac:dyDescent="0.25">
      <c r="A1391" s="3" t="str">
        <f t="shared" si="22"/>
        <v/>
      </c>
    </row>
    <row r="1392" spans="1:1" x14ac:dyDescent="0.25">
      <c r="A1392" s="3" t="str">
        <f t="shared" si="22"/>
        <v/>
      </c>
    </row>
    <row r="1393" spans="1:1" x14ac:dyDescent="0.25">
      <c r="A1393" s="3" t="str">
        <f t="shared" si="22"/>
        <v/>
      </c>
    </row>
    <row r="1394" spans="1:1" x14ac:dyDescent="0.25">
      <c r="A1394" s="3" t="str">
        <f t="shared" si="22"/>
        <v/>
      </c>
    </row>
    <row r="1395" spans="1:1" x14ac:dyDescent="0.25">
      <c r="A1395" s="3" t="str">
        <f t="shared" si="22"/>
        <v/>
      </c>
    </row>
    <row r="1396" spans="1:1" x14ac:dyDescent="0.25">
      <c r="A1396" s="3" t="str">
        <f t="shared" si="22"/>
        <v/>
      </c>
    </row>
    <row r="1397" spans="1:1" x14ac:dyDescent="0.25">
      <c r="A1397" s="3" t="str">
        <f t="shared" si="22"/>
        <v/>
      </c>
    </row>
    <row r="1398" spans="1:1" x14ac:dyDescent="0.25">
      <c r="A1398" s="3" t="str">
        <f t="shared" si="22"/>
        <v/>
      </c>
    </row>
    <row r="1399" spans="1:1" x14ac:dyDescent="0.25">
      <c r="A1399" s="3" t="str">
        <f t="shared" si="22"/>
        <v/>
      </c>
    </row>
    <row r="1400" spans="1:1" x14ac:dyDescent="0.25">
      <c r="A1400" s="3" t="str">
        <f t="shared" si="22"/>
        <v/>
      </c>
    </row>
    <row r="1401" spans="1:1" x14ac:dyDescent="0.25">
      <c r="A1401" s="3" t="str">
        <f t="shared" si="22"/>
        <v/>
      </c>
    </row>
    <row r="1402" spans="1:1" x14ac:dyDescent="0.25">
      <c r="A1402" s="3" t="str">
        <f t="shared" si="22"/>
        <v/>
      </c>
    </row>
    <row r="1403" spans="1:1" x14ac:dyDescent="0.25">
      <c r="A1403" s="3" t="str">
        <f t="shared" si="22"/>
        <v/>
      </c>
    </row>
    <row r="1404" spans="1:1" x14ac:dyDescent="0.25">
      <c r="A1404" s="3" t="str">
        <f t="shared" si="22"/>
        <v/>
      </c>
    </row>
    <row r="1405" spans="1:1" x14ac:dyDescent="0.25">
      <c r="A1405" s="3" t="str">
        <f t="shared" si="22"/>
        <v/>
      </c>
    </row>
    <row r="1406" spans="1:1" x14ac:dyDescent="0.25">
      <c r="A1406" s="3" t="str">
        <f t="shared" si="22"/>
        <v/>
      </c>
    </row>
    <row r="1407" spans="1:1" x14ac:dyDescent="0.25">
      <c r="A1407" s="3" t="str">
        <f t="shared" si="22"/>
        <v/>
      </c>
    </row>
    <row r="1408" spans="1:1" x14ac:dyDescent="0.25">
      <c r="A1408" s="3" t="str">
        <f t="shared" si="22"/>
        <v/>
      </c>
    </row>
    <row r="1409" spans="1:1" x14ac:dyDescent="0.25">
      <c r="A1409" s="3" t="str">
        <f t="shared" si="22"/>
        <v/>
      </c>
    </row>
    <row r="1410" spans="1:1" x14ac:dyDescent="0.25">
      <c r="A1410" s="3" t="str">
        <f t="shared" si="22"/>
        <v/>
      </c>
    </row>
    <row r="1411" spans="1:1" x14ac:dyDescent="0.25">
      <c r="A1411" s="3" t="str">
        <f t="shared" si="22"/>
        <v/>
      </c>
    </row>
    <row r="1412" spans="1:1" x14ac:dyDescent="0.25">
      <c r="A1412" s="3" t="str">
        <f t="shared" si="22"/>
        <v/>
      </c>
    </row>
    <row r="1413" spans="1:1" x14ac:dyDescent="0.25">
      <c r="A1413" s="3" t="str">
        <f t="shared" si="22"/>
        <v/>
      </c>
    </row>
    <row r="1414" spans="1:1" x14ac:dyDescent="0.25">
      <c r="A1414" s="3" t="str">
        <f t="shared" si="22"/>
        <v/>
      </c>
    </row>
    <row r="1415" spans="1:1" x14ac:dyDescent="0.25">
      <c r="A1415" s="3" t="str">
        <f t="shared" si="22"/>
        <v/>
      </c>
    </row>
    <row r="1416" spans="1:1" x14ac:dyDescent="0.25">
      <c r="A1416" s="3" t="str">
        <f t="shared" si="22"/>
        <v/>
      </c>
    </row>
    <row r="1417" spans="1:1" x14ac:dyDescent="0.25">
      <c r="A1417" s="3" t="str">
        <f t="shared" ref="A1417:A1480" si="23">IF(B1417&lt;&gt; "",ROW(B1417) - 8,"")</f>
        <v/>
      </c>
    </row>
    <row r="1418" spans="1:1" x14ac:dyDescent="0.25">
      <c r="A1418" s="3" t="str">
        <f t="shared" si="23"/>
        <v/>
      </c>
    </row>
    <row r="1419" spans="1:1" x14ac:dyDescent="0.25">
      <c r="A1419" s="3" t="str">
        <f t="shared" si="23"/>
        <v/>
      </c>
    </row>
    <row r="1420" spans="1:1" x14ac:dyDescent="0.25">
      <c r="A1420" s="3" t="str">
        <f t="shared" si="23"/>
        <v/>
      </c>
    </row>
    <row r="1421" spans="1:1" x14ac:dyDescent="0.25">
      <c r="A1421" s="3" t="str">
        <f t="shared" si="23"/>
        <v/>
      </c>
    </row>
    <row r="1422" spans="1:1" x14ac:dyDescent="0.25">
      <c r="A1422" s="3" t="str">
        <f t="shared" si="23"/>
        <v/>
      </c>
    </row>
    <row r="1423" spans="1:1" x14ac:dyDescent="0.25">
      <c r="A1423" s="3" t="str">
        <f t="shared" si="23"/>
        <v/>
      </c>
    </row>
    <row r="1424" spans="1:1" x14ac:dyDescent="0.25">
      <c r="A1424" s="3" t="str">
        <f t="shared" si="23"/>
        <v/>
      </c>
    </row>
    <row r="1425" spans="1:1" x14ac:dyDescent="0.25">
      <c r="A1425" s="3" t="str">
        <f t="shared" si="23"/>
        <v/>
      </c>
    </row>
    <row r="1426" spans="1:1" x14ac:dyDescent="0.25">
      <c r="A1426" s="3" t="str">
        <f t="shared" si="23"/>
        <v/>
      </c>
    </row>
    <row r="1427" spans="1:1" x14ac:dyDescent="0.25">
      <c r="A1427" s="3" t="str">
        <f t="shared" si="23"/>
        <v/>
      </c>
    </row>
    <row r="1428" spans="1:1" x14ac:dyDescent="0.25">
      <c r="A1428" s="3" t="str">
        <f t="shared" si="23"/>
        <v/>
      </c>
    </row>
    <row r="1429" spans="1:1" x14ac:dyDescent="0.25">
      <c r="A1429" s="3" t="str">
        <f t="shared" si="23"/>
        <v/>
      </c>
    </row>
    <row r="1430" spans="1:1" x14ac:dyDescent="0.25">
      <c r="A1430" s="3" t="str">
        <f t="shared" si="23"/>
        <v/>
      </c>
    </row>
    <row r="1431" spans="1:1" x14ac:dyDescent="0.25">
      <c r="A1431" s="3" t="str">
        <f t="shared" si="23"/>
        <v/>
      </c>
    </row>
    <row r="1432" spans="1:1" x14ac:dyDescent="0.25">
      <c r="A1432" s="3" t="str">
        <f t="shared" si="23"/>
        <v/>
      </c>
    </row>
    <row r="1433" spans="1:1" x14ac:dyDescent="0.25">
      <c r="A1433" s="3" t="str">
        <f t="shared" si="23"/>
        <v/>
      </c>
    </row>
    <row r="1434" spans="1:1" x14ac:dyDescent="0.25">
      <c r="A1434" s="3" t="str">
        <f t="shared" si="23"/>
        <v/>
      </c>
    </row>
    <row r="1435" spans="1:1" x14ac:dyDescent="0.25">
      <c r="A1435" s="3" t="str">
        <f t="shared" si="23"/>
        <v/>
      </c>
    </row>
    <row r="1436" spans="1:1" x14ac:dyDescent="0.25">
      <c r="A1436" s="3" t="str">
        <f t="shared" si="23"/>
        <v/>
      </c>
    </row>
    <row r="1437" spans="1:1" x14ac:dyDescent="0.25">
      <c r="A1437" s="3" t="str">
        <f t="shared" si="23"/>
        <v/>
      </c>
    </row>
    <row r="1438" spans="1:1" x14ac:dyDescent="0.25">
      <c r="A1438" s="3" t="str">
        <f t="shared" si="23"/>
        <v/>
      </c>
    </row>
    <row r="1439" spans="1:1" x14ac:dyDescent="0.25">
      <c r="A1439" s="3" t="str">
        <f t="shared" si="23"/>
        <v/>
      </c>
    </row>
    <row r="1440" spans="1:1" x14ac:dyDescent="0.25">
      <c r="A1440" s="3" t="str">
        <f t="shared" si="23"/>
        <v/>
      </c>
    </row>
    <row r="1441" spans="1:1" x14ac:dyDescent="0.25">
      <c r="A1441" s="3" t="str">
        <f t="shared" si="23"/>
        <v/>
      </c>
    </row>
    <row r="1442" spans="1:1" x14ac:dyDescent="0.25">
      <c r="A1442" s="3" t="str">
        <f t="shared" si="23"/>
        <v/>
      </c>
    </row>
    <row r="1443" spans="1:1" x14ac:dyDescent="0.25">
      <c r="A1443" s="3" t="str">
        <f t="shared" si="23"/>
        <v/>
      </c>
    </row>
    <row r="1444" spans="1:1" x14ac:dyDescent="0.25">
      <c r="A1444" s="3" t="str">
        <f t="shared" si="23"/>
        <v/>
      </c>
    </row>
    <row r="1445" spans="1:1" x14ac:dyDescent="0.25">
      <c r="A1445" s="3" t="str">
        <f t="shared" si="23"/>
        <v/>
      </c>
    </row>
    <row r="1446" spans="1:1" x14ac:dyDescent="0.25">
      <c r="A1446" s="3" t="str">
        <f t="shared" si="23"/>
        <v/>
      </c>
    </row>
    <row r="1447" spans="1:1" x14ac:dyDescent="0.25">
      <c r="A1447" s="3" t="str">
        <f t="shared" si="23"/>
        <v/>
      </c>
    </row>
    <row r="1448" spans="1:1" x14ac:dyDescent="0.25">
      <c r="A1448" s="3" t="str">
        <f t="shared" si="23"/>
        <v/>
      </c>
    </row>
    <row r="1449" spans="1:1" x14ac:dyDescent="0.25">
      <c r="A1449" s="3" t="str">
        <f t="shared" si="23"/>
        <v/>
      </c>
    </row>
    <row r="1450" spans="1:1" x14ac:dyDescent="0.25">
      <c r="A1450" s="3" t="str">
        <f t="shared" si="23"/>
        <v/>
      </c>
    </row>
    <row r="1451" spans="1:1" x14ac:dyDescent="0.25">
      <c r="A1451" s="3" t="str">
        <f t="shared" si="23"/>
        <v/>
      </c>
    </row>
    <row r="1452" spans="1:1" x14ac:dyDescent="0.25">
      <c r="A1452" s="3" t="str">
        <f t="shared" si="23"/>
        <v/>
      </c>
    </row>
    <row r="1453" spans="1:1" x14ac:dyDescent="0.25">
      <c r="A1453" s="3" t="str">
        <f t="shared" si="23"/>
        <v/>
      </c>
    </row>
    <row r="1454" spans="1:1" x14ac:dyDescent="0.25">
      <c r="A1454" s="3" t="str">
        <f t="shared" si="23"/>
        <v/>
      </c>
    </row>
    <row r="1455" spans="1:1" x14ac:dyDescent="0.25">
      <c r="A1455" s="3" t="str">
        <f t="shared" si="23"/>
        <v/>
      </c>
    </row>
    <row r="1456" spans="1:1" x14ac:dyDescent="0.25">
      <c r="A1456" s="3" t="str">
        <f t="shared" si="23"/>
        <v/>
      </c>
    </row>
    <row r="1457" spans="1:1" x14ac:dyDescent="0.25">
      <c r="A1457" s="3" t="str">
        <f t="shared" si="23"/>
        <v/>
      </c>
    </row>
    <row r="1458" spans="1:1" x14ac:dyDescent="0.25">
      <c r="A1458" s="3" t="str">
        <f t="shared" si="23"/>
        <v/>
      </c>
    </row>
    <row r="1459" spans="1:1" x14ac:dyDescent="0.25">
      <c r="A1459" s="3" t="str">
        <f t="shared" si="23"/>
        <v/>
      </c>
    </row>
    <row r="1460" spans="1:1" x14ac:dyDescent="0.25">
      <c r="A1460" s="3" t="str">
        <f t="shared" si="23"/>
        <v/>
      </c>
    </row>
    <row r="1461" spans="1:1" x14ac:dyDescent="0.25">
      <c r="A1461" s="3" t="str">
        <f t="shared" si="23"/>
        <v/>
      </c>
    </row>
    <row r="1462" spans="1:1" x14ac:dyDescent="0.25">
      <c r="A1462" s="3" t="str">
        <f t="shared" si="23"/>
        <v/>
      </c>
    </row>
    <row r="1463" spans="1:1" x14ac:dyDescent="0.25">
      <c r="A1463" s="3" t="str">
        <f t="shared" si="23"/>
        <v/>
      </c>
    </row>
    <row r="1464" spans="1:1" x14ac:dyDescent="0.25">
      <c r="A1464" s="3" t="str">
        <f t="shared" si="23"/>
        <v/>
      </c>
    </row>
    <row r="1465" spans="1:1" x14ac:dyDescent="0.25">
      <c r="A1465" s="3" t="str">
        <f t="shared" si="23"/>
        <v/>
      </c>
    </row>
    <row r="1466" spans="1:1" x14ac:dyDescent="0.25">
      <c r="A1466" s="3" t="str">
        <f t="shared" si="23"/>
        <v/>
      </c>
    </row>
    <row r="1467" spans="1:1" x14ac:dyDescent="0.25">
      <c r="A1467" s="3" t="str">
        <f t="shared" si="23"/>
        <v/>
      </c>
    </row>
    <row r="1468" spans="1:1" x14ac:dyDescent="0.25">
      <c r="A1468" s="3" t="str">
        <f t="shared" si="23"/>
        <v/>
      </c>
    </row>
    <row r="1469" spans="1:1" x14ac:dyDescent="0.25">
      <c r="A1469" s="3" t="str">
        <f t="shared" si="23"/>
        <v/>
      </c>
    </row>
    <row r="1470" spans="1:1" x14ac:dyDescent="0.25">
      <c r="A1470" s="3" t="str">
        <f t="shared" si="23"/>
        <v/>
      </c>
    </row>
    <row r="1471" spans="1:1" x14ac:dyDescent="0.25">
      <c r="A1471" s="3" t="str">
        <f t="shared" si="23"/>
        <v/>
      </c>
    </row>
    <row r="1472" spans="1:1" x14ac:dyDescent="0.25">
      <c r="A1472" s="3" t="str">
        <f t="shared" si="23"/>
        <v/>
      </c>
    </row>
    <row r="1473" spans="1:1" x14ac:dyDescent="0.25">
      <c r="A1473" s="3" t="str">
        <f t="shared" si="23"/>
        <v/>
      </c>
    </row>
    <row r="1474" spans="1:1" x14ac:dyDescent="0.25">
      <c r="A1474" s="3" t="str">
        <f t="shared" si="23"/>
        <v/>
      </c>
    </row>
    <row r="1475" spans="1:1" x14ac:dyDescent="0.25">
      <c r="A1475" s="3" t="str">
        <f t="shared" si="23"/>
        <v/>
      </c>
    </row>
    <row r="1476" spans="1:1" x14ac:dyDescent="0.25">
      <c r="A1476" s="3" t="str">
        <f t="shared" si="23"/>
        <v/>
      </c>
    </row>
    <row r="1477" spans="1:1" x14ac:dyDescent="0.25">
      <c r="A1477" s="3" t="str">
        <f t="shared" si="23"/>
        <v/>
      </c>
    </row>
    <row r="1478" spans="1:1" x14ac:dyDescent="0.25">
      <c r="A1478" s="3" t="str">
        <f t="shared" si="23"/>
        <v/>
      </c>
    </row>
    <row r="1479" spans="1:1" x14ac:dyDescent="0.25">
      <c r="A1479" s="3" t="str">
        <f t="shared" si="23"/>
        <v/>
      </c>
    </row>
    <row r="1480" spans="1:1" x14ac:dyDescent="0.25">
      <c r="A1480" s="3" t="str">
        <f t="shared" si="23"/>
        <v/>
      </c>
    </row>
    <row r="1481" spans="1:1" x14ac:dyDescent="0.25">
      <c r="A1481" s="3" t="str">
        <f t="shared" ref="A1481:A1544" si="24">IF(B1481&lt;&gt; "",ROW(B1481) - 8,"")</f>
        <v/>
      </c>
    </row>
    <row r="1482" spans="1:1" x14ac:dyDescent="0.25">
      <c r="A1482" s="3" t="str">
        <f t="shared" si="24"/>
        <v/>
      </c>
    </row>
    <row r="1483" spans="1:1" x14ac:dyDescent="0.25">
      <c r="A1483" s="3" t="str">
        <f t="shared" si="24"/>
        <v/>
      </c>
    </row>
    <row r="1484" spans="1:1" x14ac:dyDescent="0.25">
      <c r="A1484" s="3" t="str">
        <f t="shared" si="24"/>
        <v/>
      </c>
    </row>
    <row r="1485" spans="1:1" x14ac:dyDescent="0.25">
      <c r="A1485" s="3" t="str">
        <f t="shared" si="24"/>
        <v/>
      </c>
    </row>
    <row r="1486" spans="1:1" x14ac:dyDescent="0.25">
      <c r="A1486" s="3" t="str">
        <f t="shared" si="24"/>
        <v/>
      </c>
    </row>
    <row r="1487" spans="1:1" x14ac:dyDescent="0.25">
      <c r="A1487" s="3" t="str">
        <f t="shared" si="24"/>
        <v/>
      </c>
    </row>
    <row r="1488" spans="1:1" x14ac:dyDescent="0.25">
      <c r="A1488" s="3" t="str">
        <f t="shared" si="24"/>
        <v/>
      </c>
    </row>
    <row r="1489" spans="1:1" x14ac:dyDescent="0.25">
      <c r="A1489" s="3" t="str">
        <f t="shared" si="24"/>
        <v/>
      </c>
    </row>
    <row r="1490" spans="1:1" x14ac:dyDescent="0.25">
      <c r="A1490" s="3" t="str">
        <f t="shared" si="24"/>
        <v/>
      </c>
    </row>
    <row r="1491" spans="1:1" x14ac:dyDescent="0.25">
      <c r="A1491" s="3" t="str">
        <f t="shared" si="24"/>
        <v/>
      </c>
    </row>
    <row r="1492" spans="1:1" x14ac:dyDescent="0.25">
      <c r="A1492" s="3" t="str">
        <f t="shared" si="24"/>
        <v/>
      </c>
    </row>
    <row r="1493" spans="1:1" x14ac:dyDescent="0.25">
      <c r="A1493" s="3" t="str">
        <f t="shared" si="24"/>
        <v/>
      </c>
    </row>
    <row r="1494" spans="1:1" x14ac:dyDescent="0.25">
      <c r="A1494" s="3" t="str">
        <f t="shared" si="24"/>
        <v/>
      </c>
    </row>
    <row r="1495" spans="1:1" x14ac:dyDescent="0.25">
      <c r="A1495" s="3" t="str">
        <f t="shared" si="24"/>
        <v/>
      </c>
    </row>
    <row r="1496" spans="1:1" x14ac:dyDescent="0.25">
      <c r="A1496" s="3" t="str">
        <f t="shared" si="24"/>
        <v/>
      </c>
    </row>
    <row r="1497" spans="1:1" x14ac:dyDescent="0.25">
      <c r="A1497" s="3" t="str">
        <f t="shared" si="24"/>
        <v/>
      </c>
    </row>
    <row r="1498" spans="1:1" x14ac:dyDescent="0.25">
      <c r="A1498" s="3" t="str">
        <f t="shared" si="24"/>
        <v/>
      </c>
    </row>
    <row r="1499" spans="1:1" x14ac:dyDescent="0.25">
      <c r="A1499" s="3" t="str">
        <f t="shared" si="24"/>
        <v/>
      </c>
    </row>
    <row r="1500" spans="1:1" x14ac:dyDescent="0.25">
      <c r="A1500" s="3" t="str">
        <f t="shared" si="24"/>
        <v/>
      </c>
    </row>
    <row r="1501" spans="1:1" x14ac:dyDescent="0.25">
      <c r="A1501" s="3" t="str">
        <f t="shared" si="24"/>
        <v/>
      </c>
    </row>
    <row r="1502" spans="1:1" x14ac:dyDescent="0.25">
      <c r="A1502" s="3" t="str">
        <f t="shared" si="24"/>
        <v/>
      </c>
    </row>
    <row r="1503" spans="1:1" x14ac:dyDescent="0.25">
      <c r="A1503" s="3" t="str">
        <f t="shared" si="24"/>
        <v/>
      </c>
    </row>
    <row r="1504" spans="1:1" x14ac:dyDescent="0.25">
      <c r="A1504" s="3" t="str">
        <f t="shared" si="24"/>
        <v/>
      </c>
    </row>
    <row r="1505" spans="1:1" x14ac:dyDescent="0.25">
      <c r="A1505" s="3" t="str">
        <f t="shared" si="24"/>
        <v/>
      </c>
    </row>
    <row r="1506" spans="1:1" x14ac:dyDescent="0.25">
      <c r="A1506" s="3" t="str">
        <f t="shared" si="24"/>
        <v/>
      </c>
    </row>
    <row r="1507" spans="1:1" x14ac:dyDescent="0.25">
      <c r="A1507" s="3" t="str">
        <f t="shared" si="24"/>
        <v/>
      </c>
    </row>
    <row r="1508" spans="1:1" x14ac:dyDescent="0.25">
      <c r="A1508" s="3" t="str">
        <f t="shared" si="24"/>
        <v/>
      </c>
    </row>
    <row r="1509" spans="1:1" x14ac:dyDescent="0.25">
      <c r="A1509" s="3" t="str">
        <f t="shared" si="24"/>
        <v/>
      </c>
    </row>
    <row r="1510" spans="1:1" x14ac:dyDescent="0.25">
      <c r="A1510" s="3" t="str">
        <f t="shared" si="24"/>
        <v/>
      </c>
    </row>
    <row r="1511" spans="1:1" x14ac:dyDescent="0.25">
      <c r="A1511" s="3" t="str">
        <f t="shared" si="24"/>
        <v/>
      </c>
    </row>
    <row r="1512" spans="1:1" x14ac:dyDescent="0.25">
      <c r="A1512" s="3" t="str">
        <f t="shared" si="24"/>
        <v/>
      </c>
    </row>
    <row r="1513" spans="1:1" x14ac:dyDescent="0.25">
      <c r="A1513" s="3" t="str">
        <f t="shared" si="24"/>
        <v/>
      </c>
    </row>
    <row r="1514" spans="1:1" x14ac:dyDescent="0.25">
      <c r="A1514" s="3" t="str">
        <f t="shared" si="24"/>
        <v/>
      </c>
    </row>
    <row r="1515" spans="1:1" x14ac:dyDescent="0.25">
      <c r="A1515" s="3" t="str">
        <f t="shared" si="24"/>
        <v/>
      </c>
    </row>
    <row r="1516" spans="1:1" x14ac:dyDescent="0.25">
      <c r="A1516" s="3" t="str">
        <f t="shared" si="24"/>
        <v/>
      </c>
    </row>
    <row r="1517" spans="1:1" x14ac:dyDescent="0.25">
      <c r="A1517" s="3" t="str">
        <f t="shared" si="24"/>
        <v/>
      </c>
    </row>
    <row r="1518" spans="1:1" x14ac:dyDescent="0.25">
      <c r="A1518" s="3" t="str">
        <f t="shared" si="24"/>
        <v/>
      </c>
    </row>
    <row r="1519" spans="1:1" x14ac:dyDescent="0.25">
      <c r="A1519" s="3" t="str">
        <f t="shared" si="24"/>
        <v/>
      </c>
    </row>
    <row r="1520" spans="1:1" x14ac:dyDescent="0.25">
      <c r="A1520" s="3" t="str">
        <f t="shared" si="24"/>
        <v/>
      </c>
    </row>
    <row r="1521" spans="1:1" x14ac:dyDescent="0.25">
      <c r="A1521" s="3" t="str">
        <f t="shared" si="24"/>
        <v/>
      </c>
    </row>
    <row r="1522" spans="1:1" x14ac:dyDescent="0.25">
      <c r="A1522" s="3" t="str">
        <f t="shared" si="24"/>
        <v/>
      </c>
    </row>
    <row r="1523" spans="1:1" x14ac:dyDescent="0.25">
      <c r="A1523" s="3" t="str">
        <f t="shared" si="24"/>
        <v/>
      </c>
    </row>
    <row r="1524" spans="1:1" x14ac:dyDescent="0.25">
      <c r="A1524" s="3" t="str">
        <f t="shared" si="24"/>
        <v/>
      </c>
    </row>
    <row r="1525" spans="1:1" x14ac:dyDescent="0.25">
      <c r="A1525" s="3" t="str">
        <f t="shared" si="24"/>
        <v/>
      </c>
    </row>
    <row r="1526" spans="1:1" x14ac:dyDescent="0.25">
      <c r="A1526" s="3" t="str">
        <f t="shared" si="24"/>
        <v/>
      </c>
    </row>
    <row r="1527" spans="1:1" x14ac:dyDescent="0.25">
      <c r="A1527" s="3" t="str">
        <f t="shared" si="24"/>
        <v/>
      </c>
    </row>
    <row r="1528" spans="1:1" x14ac:dyDescent="0.25">
      <c r="A1528" s="3" t="str">
        <f t="shared" si="24"/>
        <v/>
      </c>
    </row>
    <row r="1529" spans="1:1" x14ac:dyDescent="0.25">
      <c r="A1529" s="3" t="str">
        <f t="shared" si="24"/>
        <v/>
      </c>
    </row>
    <row r="1530" spans="1:1" x14ac:dyDescent="0.25">
      <c r="A1530" s="3" t="str">
        <f t="shared" si="24"/>
        <v/>
      </c>
    </row>
    <row r="1531" spans="1:1" x14ac:dyDescent="0.25">
      <c r="A1531" s="3" t="str">
        <f t="shared" si="24"/>
        <v/>
      </c>
    </row>
    <row r="1532" spans="1:1" x14ac:dyDescent="0.25">
      <c r="A1532" s="3" t="str">
        <f t="shared" si="24"/>
        <v/>
      </c>
    </row>
    <row r="1533" spans="1:1" x14ac:dyDescent="0.25">
      <c r="A1533" s="3" t="str">
        <f t="shared" si="24"/>
        <v/>
      </c>
    </row>
    <row r="1534" spans="1:1" x14ac:dyDescent="0.25">
      <c r="A1534" s="3" t="str">
        <f t="shared" si="24"/>
        <v/>
      </c>
    </row>
    <row r="1535" spans="1:1" x14ac:dyDescent="0.25">
      <c r="A1535" s="3" t="str">
        <f t="shared" si="24"/>
        <v/>
      </c>
    </row>
    <row r="1536" spans="1:1" x14ac:dyDescent="0.25">
      <c r="A1536" s="3" t="str">
        <f t="shared" si="24"/>
        <v/>
      </c>
    </row>
    <row r="1537" spans="1:1" x14ac:dyDescent="0.25">
      <c r="A1537" s="3" t="str">
        <f t="shared" si="24"/>
        <v/>
      </c>
    </row>
    <row r="1538" spans="1:1" x14ac:dyDescent="0.25">
      <c r="A1538" s="3" t="str">
        <f t="shared" si="24"/>
        <v/>
      </c>
    </row>
    <row r="1539" spans="1:1" x14ac:dyDescent="0.25">
      <c r="A1539" s="3" t="str">
        <f t="shared" si="24"/>
        <v/>
      </c>
    </row>
    <row r="1540" spans="1:1" x14ac:dyDescent="0.25">
      <c r="A1540" s="3" t="str">
        <f t="shared" si="24"/>
        <v/>
      </c>
    </row>
    <row r="1541" spans="1:1" x14ac:dyDescent="0.25">
      <c r="A1541" s="3" t="str">
        <f t="shared" si="24"/>
        <v/>
      </c>
    </row>
    <row r="1542" spans="1:1" x14ac:dyDescent="0.25">
      <c r="A1542" s="3" t="str">
        <f t="shared" si="24"/>
        <v/>
      </c>
    </row>
    <row r="1543" spans="1:1" x14ac:dyDescent="0.25">
      <c r="A1543" s="3" t="str">
        <f t="shared" si="24"/>
        <v/>
      </c>
    </row>
    <row r="1544" spans="1:1" x14ac:dyDescent="0.25">
      <c r="A1544" s="3" t="str">
        <f t="shared" si="24"/>
        <v/>
      </c>
    </row>
    <row r="1545" spans="1:1" x14ac:dyDescent="0.25">
      <c r="A1545" s="3" t="str">
        <f t="shared" ref="A1545:A1608" si="25">IF(B1545&lt;&gt; "",ROW(B1545) - 8,"")</f>
        <v/>
      </c>
    </row>
    <row r="1546" spans="1:1" x14ac:dyDescent="0.25">
      <c r="A1546" s="3" t="str">
        <f t="shared" si="25"/>
        <v/>
      </c>
    </row>
    <row r="1547" spans="1:1" x14ac:dyDescent="0.25">
      <c r="A1547" s="3" t="str">
        <f t="shared" si="25"/>
        <v/>
      </c>
    </row>
    <row r="1548" spans="1:1" x14ac:dyDescent="0.25">
      <c r="A1548" s="3" t="str">
        <f t="shared" si="25"/>
        <v/>
      </c>
    </row>
    <row r="1549" spans="1:1" x14ac:dyDescent="0.25">
      <c r="A1549" s="3" t="str">
        <f t="shared" si="25"/>
        <v/>
      </c>
    </row>
    <row r="1550" spans="1:1" x14ac:dyDescent="0.25">
      <c r="A1550" s="3" t="str">
        <f t="shared" si="25"/>
        <v/>
      </c>
    </row>
    <row r="1551" spans="1:1" x14ac:dyDescent="0.25">
      <c r="A1551" s="3" t="str">
        <f t="shared" si="25"/>
        <v/>
      </c>
    </row>
    <row r="1552" spans="1:1" x14ac:dyDescent="0.25">
      <c r="A1552" s="3" t="str">
        <f t="shared" si="25"/>
        <v/>
      </c>
    </row>
    <row r="1553" spans="1:1" x14ac:dyDescent="0.25">
      <c r="A1553" s="3" t="str">
        <f t="shared" si="25"/>
        <v/>
      </c>
    </row>
    <row r="1554" spans="1:1" x14ac:dyDescent="0.25">
      <c r="A1554" s="3" t="str">
        <f t="shared" si="25"/>
        <v/>
      </c>
    </row>
    <row r="1555" spans="1:1" x14ac:dyDescent="0.25">
      <c r="A1555" s="3" t="str">
        <f t="shared" si="25"/>
        <v/>
      </c>
    </row>
    <row r="1556" spans="1:1" x14ac:dyDescent="0.25">
      <c r="A1556" s="3" t="str">
        <f t="shared" si="25"/>
        <v/>
      </c>
    </row>
    <row r="1557" spans="1:1" x14ac:dyDescent="0.25">
      <c r="A1557" s="3" t="str">
        <f t="shared" si="25"/>
        <v/>
      </c>
    </row>
    <row r="1558" spans="1:1" x14ac:dyDescent="0.25">
      <c r="A1558" s="3" t="str">
        <f t="shared" si="25"/>
        <v/>
      </c>
    </row>
    <row r="1559" spans="1:1" x14ac:dyDescent="0.25">
      <c r="A1559" s="3" t="str">
        <f t="shared" si="25"/>
        <v/>
      </c>
    </row>
    <row r="1560" spans="1:1" x14ac:dyDescent="0.25">
      <c r="A1560" s="3" t="str">
        <f t="shared" si="25"/>
        <v/>
      </c>
    </row>
    <row r="1561" spans="1:1" x14ac:dyDescent="0.25">
      <c r="A1561" s="3" t="str">
        <f t="shared" si="25"/>
        <v/>
      </c>
    </row>
    <row r="1562" spans="1:1" x14ac:dyDescent="0.25">
      <c r="A1562" s="3" t="str">
        <f t="shared" si="25"/>
        <v/>
      </c>
    </row>
    <row r="1563" spans="1:1" x14ac:dyDescent="0.25">
      <c r="A1563" s="3" t="str">
        <f t="shared" si="25"/>
        <v/>
      </c>
    </row>
    <row r="1564" spans="1:1" x14ac:dyDescent="0.25">
      <c r="A1564" s="3" t="str">
        <f t="shared" si="25"/>
        <v/>
      </c>
    </row>
    <row r="1565" spans="1:1" x14ac:dyDescent="0.25">
      <c r="A1565" s="3" t="str">
        <f t="shared" si="25"/>
        <v/>
      </c>
    </row>
    <row r="1566" spans="1:1" x14ac:dyDescent="0.25">
      <c r="A1566" s="3" t="str">
        <f t="shared" si="25"/>
        <v/>
      </c>
    </row>
    <row r="1567" spans="1:1" x14ac:dyDescent="0.25">
      <c r="A1567" s="3" t="str">
        <f t="shared" si="25"/>
        <v/>
      </c>
    </row>
    <row r="1568" spans="1:1" x14ac:dyDescent="0.25">
      <c r="A1568" s="3" t="str">
        <f t="shared" si="25"/>
        <v/>
      </c>
    </row>
    <row r="1569" spans="1:1" x14ac:dyDescent="0.25">
      <c r="A1569" s="3" t="str">
        <f t="shared" si="25"/>
        <v/>
      </c>
    </row>
    <row r="1570" spans="1:1" x14ac:dyDescent="0.25">
      <c r="A1570" s="3" t="str">
        <f t="shared" si="25"/>
        <v/>
      </c>
    </row>
    <row r="1571" spans="1:1" x14ac:dyDescent="0.25">
      <c r="A1571" s="3" t="str">
        <f t="shared" si="25"/>
        <v/>
      </c>
    </row>
    <row r="1572" spans="1:1" x14ac:dyDescent="0.25">
      <c r="A1572" s="3" t="str">
        <f t="shared" si="25"/>
        <v/>
      </c>
    </row>
    <row r="1573" spans="1:1" x14ac:dyDescent="0.25">
      <c r="A1573" s="3" t="str">
        <f t="shared" si="25"/>
        <v/>
      </c>
    </row>
    <row r="1574" spans="1:1" x14ac:dyDescent="0.25">
      <c r="A1574" s="3" t="str">
        <f t="shared" si="25"/>
        <v/>
      </c>
    </row>
    <row r="1575" spans="1:1" x14ac:dyDescent="0.25">
      <c r="A1575" s="3" t="str">
        <f t="shared" si="25"/>
        <v/>
      </c>
    </row>
    <row r="1576" spans="1:1" x14ac:dyDescent="0.25">
      <c r="A1576" s="3" t="str">
        <f t="shared" si="25"/>
        <v/>
      </c>
    </row>
    <row r="1577" spans="1:1" x14ac:dyDescent="0.25">
      <c r="A1577" s="3" t="str">
        <f t="shared" si="25"/>
        <v/>
      </c>
    </row>
    <row r="1578" spans="1:1" x14ac:dyDescent="0.25">
      <c r="A1578" s="3" t="str">
        <f t="shared" si="25"/>
        <v/>
      </c>
    </row>
    <row r="1579" spans="1:1" x14ac:dyDescent="0.25">
      <c r="A1579" s="3" t="str">
        <f t="shared" si="25"/>
        <v/>
      </c>
    </row>
    <row r="1580" spans="1:1" x14ac:dyDescent="0.25">
      <c r="A1580" s="3" t="str">
        <f t="shared" si="25"/>
        <v/>
      </c>
    </row>
    <row r="1581" spans="1:1" x14ac:dyDescent="0.25">
      <c r="A1581" s="3" t="str">
        <f t="shared" si="25"/>
        <v/>
      </c>
    </row>
    <row r="1582" spans="1:1" x14ac:dyDescent="0.25">
      <c r="A1582" s="3" t="str">
        <f t="shared" si="25"/>
        <v/>
      </c>
    </row>
    <row r="1583" spans="1:1" x14ac:dyDescent="0.25">
      <c r="A1583" s="3" t="str">
        <f t="shared" si="25"/>
        <v/>
      </c>
    </row>
    <row r="1584" spans="1:1" x14ac:dyDescent="0.25">
      <c r="A1584" s="3" t="str">
        <f t="shared" si="25"/>
        <v/>
      </c>
    </row>
    <row r="1585" spans="1:1" x14ac:dyDescent="0.25">
      <c r="A1585" s="3" t="str">
        <f t="shared" si="25"/>
        <v/>
      </c>
    </row>
    <row r="1586" spans="1:1" x14ac:dyDescent="0.25">
      <c r="A1586" s="3" t="str">
        <f t="shared" si="25"/>
        <v/>
      </c>
    </row>
    <row r="1587" spans="1:1" x14ac:dyDescent="0.25">
      <c r="A1587" s="3" t="str">
        <f t="shared" si="25"/>
        <v/>
      </c>
    </row>
    <row r="1588" spans="1:1" x14ac:dyDescent="0.25">
      <c r="A1588" s="3" t="str">
        <f t="shared" si="25"/>
        <v/>
      </c>
    </row>
    <row r="1589" spans="1:1" x14ac:dyDescent="0.25">
      <c r="A1589" s="3" t="str">
        <f t="shared" si="25"/>
        <v/>
      </c>
    </row>
    <row r="1590" spans="1:1" x14ac:dyDescent="0.25">
      <c r="A1590" s="3" t="str">
        <f t="shared" si="25"/>
        <v/>
      </c>
    </row>
    <row r="1591" spans="1:1" x14ac:dyDescent="0.25">
      <c r="A1591" s="3" t="str">
        <f t="shared" si="25"/>
        <v/>
      </c>
    </row>
    <row r="1592" spans="1:1" x14ac:dyDescent="0.25">
      <c r="A1592" s="3" t="str">
        <f t="shared" si="25"/>
        <v/>
      </c>
    </row>
    <row r="1593" spans="1:1" x14ac:dyDescent="0.25">
      <c r="A1593" s="3" t="str">
        <f t="shared" si="25"/>
        <v/>
      </c>
    </row>
    <row r="1594" spans="1:1" x14ac:dyDescent="0.25">
      <c r="A1594" s="3" t="str">
        <f t="shared" si="25"/>
        <v/>
      </c>
    </row>
    <row r="1595" spans="1:1" x14ac:dyDescent="0.25">
      <c r="A1595" s="3" t="str">
        <f t="shared" si="25"/>
        <v/>
      </c>
    </row>
    <row r="1596" spans="1:1" x14ac:dyDescent="0.25">
      <c r="A1596" s="3" t="str">
        <f t="shared" si="25"/>
        <v/>
      </c>
    </row>
    <row r="1597" spans="1:1" x14ac:dyDescent="0.25">
      <c r="A1597" s="3" t="str">
        <f t="shared" si="25"/>
        <v/>
      </c>
    </row>
    <row r="1598" spans="1:1" x14ac:dyDescent="0.25">
      <c r="A1598" s="3" t="str">
        <f t="shared" si="25"/>
        <v/>
      </c>
    </row>
    <row r="1599" spans="1:1" x14ac:dyDescent="0.25">
      <c r="A1599" s="3" t="str">
        <f t="shared" si="25"/>
        <v/>
      </c>
    </row>
    <row r="1600" spans="1:1" x14ac:dyDescent="0.25">
      <c r="A1600" s="3" t="str">
        <f t="shared" si="25"/>
        <v/>
      </c>
    </row>
    <row r="1601" spans="1:1" x14ac:dyDescent="0.25">
      <c r="A1601" s="3" t="str">
        <f t="shared" si="25"/>
        <v/>
      </c>
    </row>
    <row r="1602" spans="1:1" x14ac:dyDescent="0.25">
      <c r="A1602" s="3" t="str">
        <f t="shared" si="25"/>
        <v/>
      </c>
    </row>
    <row r="1603" spans="1:1" x14ac:dyDescent="0.25">
      <c r="A1603" s="3" t="str">
        <f t="shared" si="25"/>
        <v/>
      </c>
    </row>
    <row r="1604" spans="1:1" x14ac:dyDescent="0.25">
      <c r="A1604" s="3" t="str">
        <f t="shared" si="25"/>
        <v/>
      </c>
    </row>
    <row r="1605" spans="1:1" x14ac:dyDescent="0.25">
      <c r="A1605" s="3" t="str">
        <f t="shared" si="25"/>
        <v/>
      </c>
    </row>
    <row r="1606" spans="1:1" x14ac:dyDescent="0.25">
      <c r="A1606" s="3" t="str">
        <f t="shared" si="25"/>
        <v/>
      </c>
    </row>
    <row r="1607" spans="1:1" x14ac:dyDescent="0.25">
      <c r="A1607" s="3" t="str">
        <f t="shared" si="25"/>
        <v/>
      </c>
    </row>
    <row r="1608" spans="1:1" x14ac:dyDescent="0.25">
      <c r="A1608" s="3" t="str">
        <f t="shared" si="25"/>
        <v/>
      </c>
    </row>
    <row r="1609" spans="1:1" x14ac:dyDescent="0.25">
      <c r="A1609" s="3" t="str">
        <f t="shared" ref="A1609:A1672" si="26">IF(B1609&lt;&gt; "",ROW(B1609) - 8,"")</f>
        <v/>
      </c>
    </row>
    <row r="1610" spans="1:1" x14ac:dyDescent="0.25">
      <c r="A1610" s="3" t="str">
        <f t="shared" si="26"/>
        <v/>
      </c>
    </row>
    <row r="1611" spans="1:1" x14ac:dyDescent="0.25">
      <c r="A1611" s="3" t="str">
        <f t="shared" si="26"/>
        <v/>
      </c>
    </row>
    <row r="1612" spans="1:1" x14ac:dyDescent="0.25">
      <c r="A1612" s="3" t="str">
        <f t="shared" si="26"/>
        <v/>
      </c>
    </row>
    <row r="1613" spans="1:1" x14ac:dyDescent="0.25">
      <c r="A1613" s="3" t="str">
        <f t="shared" si="26"/>
        <v/>
      </c>
    </row>
    <row r="1614" spans="1:1" x14ac:dyDescent="0.25">
      <c r="A1614" s="3" t="str">
        <f t="shared" si="26"/>
        <v/>
      </c>
    </row>
    <row r="1615" spans="1:1" x14ac:dyDescent="0.25">
      <c r="A1615" s="3" t="str">
        <f t="shared" si="26"/>
        <v/>
      </c>
    </row>
    <row r="1616" spans="1:1" x14ac:dyDescent="0.25">
      <c r="A1616" s="3" t="str">
        <f t="shared" si="26"/>
        <v/>
      </c>
    </row>
    <row r="1617" spans="1:1" x14ac:dyDescent="0.25">
      <c r="A1617" s="3" t="str">
        <f t="shared" si="26"/>
        <v/>
      </c>
    </row>
    <row r="1618" spans="1:1" x14ac:dyDescent="0.25">
      <c r="A1618" s="3" t="str">
        <f t="shared" si="26"/>
        <v/>
      </c>
    </row>
    <row r="1619" spans="1:1" x14ac:dyDescent="0.25">
      <c r="A1619" s="3" t="str">
        <f t="shared" si="26"/>
        <v/>
      </c>
    </row>
    <row r="1620" spans="1:1" x14ac:dyDescent="0.25">
      <c r="A1620" s="3" t="str">
        <f t="shared" si="26"/>
        <v/>
      </c>
    </row>
    <row r="1621" spans="1:1" x14ac:dyDescent="0.25">
      <c r="A1621" s="3" t="str">
        <f t="shared" si="26"/>
        <v/>
      </c>
    </row>
    <row r="1622" spans="1:1" x14ac:dyDescent="0.25">
      <c r="A1622" s="3" t="str">
        <f t="shared" si="26"/>
        <v/>
      </c>
    </row>
    <row r="1623" spans="1:1" x14ac:dyDescent="0.25">
      <c r="A1623" s="3" t="str">
        <f t="shared" si="26"/>
        <v/>
      </c>
    </row>
    <row r="1624" spans="1:1" x14ac:dyDescent="0.25">
      <c r="A1624" s="3" t="str">
        <f t="shared" si="26"/>
        <v/>
      </c>
    </row>
    <row r="1625" spans="1:1" x14ac:dyDescent="0.25">
      <c r="A1625" s="3" t="str">
        <f t="shared" si="26"/>
        <v/>
      </c>
    </row>
    <row r="1626" spans="1:1" x14ac:dyDescent="0.25">
      <c r="A1626" s="3" t="str">
        <f t="shared" si="26"/>
        <v/>
      </c>
    </row>
    <row r="1627" spans="1:1" x14ac:dyDescent="0.25">
      <c r="A1627" s="3" t="str">
        <f t="shared" si="26"/>
        <v/>
      </c>
    </row>
    <row r="1628" spans="1:1" x14ac:dyDescent="0.25">
      <c r="A1628" s="3" t="str">
        <f t="shared" si="26"/>
        <v/>
      </c>
    </row>
    <row r="1629" spans="1:1" x14ac:dyDescent="0.25">
      <c r="A1629" s="3" t="str">
        <f t="shared" si="26"/>
        <v/>
      </c>
    </row>
    <row r="1630" spans="1:1" x14ac:dyDescent="0.25">
      <c r="A1630" s="3" t="str">
        <f t="shared" si="26"/>
        <v/>
      </c>
    </row>
    <row r="1631" spans="1:1" x14ac:dyDescent="0.25">
      <c r="A1631" s="3" t="str">
        <f t="shared" si="26"/>
        <v/>
      </c>
    </row>
    <row r="1632" spans="1:1" x14ac:dyDescent="0.25">
      <c r="A1632" s="3" t="str">
        <f t="shared" si="26"/>
        <v/>
      </c>
    </row>
    <row r="1633" spans="1:1" x14ac:dyDescent="0.25">
      <c r="A1633" s="3" t="str">
        <f t="shared" si="26"/>
        <v/>
      </c>
    </row>
    <row r="1634" spans="1:1" x14ac:dyDescent="0.25">
      <c r="A1634" s="3" t="str">
        <f t="shared" si="26"/>
        <v/>
      </c>
    </row>
    <row r="1635" spans="1:1" x14ac:dyDescent="0.25">
      <c r="A1635" s="3" t="str">
        <f t="shared" si="26"/>
        <v/>
      </c>
    </row>
    <row r="1636" spans="1:1" x14ac:dyDescent="0.25">
      <c r="A1636" s="3" t="str">
        <f t="shared" si="26"/>
        <v/>
      </c>
    </row>
    <row r="1637" spans="1:1" x14ac:dyDescent="0.25">
      <c r="A1637" s="3" t="str">
        <f t="shared" si="26"/>
        <v/>
      </c>
    </row>
    <row r="1638" spans="1:1" x14ac:dyDescent="0.25">
      <c r="A1638" s="3" t="str">
        <f t="shared" si="26"/>
        <v/>
      </c>
    </row>
    <row r="1639" spans="1:1" x14ac:dyDescent="0.25">
      <c r="A1639" s="3" t="str">
        <f t="shared" si="26"/>
        <v/>
      </c>
    </row>
    <row r="1640" spans="1:1" x14ac:dyDescent="0.25">
      <c r="A1640" s="3" t="str">
        <f t="shared" si="26"/>
        <v/>
      </c>
    </row>
    <row r="1641" spans="1:1" x14ac:dyDescent="0.25">
      <c r="A1641" s="3" t="str">
        <f t="shared" si="26"/>
        <v/>
      </c>
    </row>
    <row r="1642" spans="1:1" x14ac:dyDescent="0.25">
      <c r="A1642" s="3" t="str">
        <f t="shared" si="26"/>
        <v/>
      </c>
    </row>
    <row r="1643" spans="1:1" x14ac:dyDescent="0.25">
      <c r="A1643" s="3" t="str">
        <f t="shared" si="26"/>
        <v/>
      </c>
    </row>
    <row r="1644" spans="1:1" x14ac:dyDescent="0.25">
      <c r="A1644" s="3" t="str">
        <f t="shared" si="26"/>
        <v/>
      </c>
    </row>
    <row r="1645" spans="1:1" x14ac:dyDescent="0.25">
      <c r="A1645" s="3" t="str">
        <f t="shared" si="26"/>
        <v/>
      </c>
    </row>
    <row r="1646" spans="1:1" x14ac:dyDescent="0.25">
      <c r="A1646" s="3" t="str">
        <f t="shared" si="26"/>
        <v/>
      </c>
    </row>
    <row r="1647" spans="1:1" x14ac:dyDescent="0.25">
      <c r="A1647" s="3" t="str">
        <f t="shared" si="26"/>
        <v/>
      </c>
    </row>
    <row r="1648" spans="1:1" x14ac:dyDescent="0.25">
      <c r="A1648" s="3" t="str">
        <f t="shared" si="26"/>
        <v/>
      </c>
    </row>
    <row r="1649" spans="1:1" x14ac:dyDescent="0.25">
      <c r="A1649" s="3" t="str">
        <f t="shared" si="26"/>
        <v/>
      </c>
    </row>
    <row r="1650" spans="1:1" x14ac:dyDescent="0.25">
      <c r="A1650" s="3" t="str">
        <f t="shared" si="26"/>
        <v/>
      </c>
    </row>
    <row r="1651" spans="1:1" x14ac:dyDescent="0.25">
      <c r="A1651" s="3" t="str">
        <f t="shared" si="26"/>
        <v/>
      </c>
    </row>
    <row r="1652" spans="1:1" x14ac:dyDescent="0.25">
      <c r="A1652" s="3" t="str">
        <f t="shared" si="26"/>
        <v/>
      </c>
    </row>
    <row r="1653" spans="1:1" x14ac:dyDescent="0.25">
      <c r="A1653" s="3" t="str">
        <f t="shared" si="26"/>
        <v/>
      </c>
    </row>
    <row r="1654" spans="1:1" x14ac:dyDescent="0.25">
      <c r="A1654" s="3" t="str">
        <f t="shared" si="26"/>
        <v/>
      </c>
    </row>
    <row r="1655" spans="1:1" x14ac:dyDescent="0.25">
      <c r="A1655" s="3" t="str">
        <f t="shared" si="26"/>
        <v/>
      </c>
    </row>
    <row r="1656" spans="1:1" x14ac:dyDescent="0.25">
      <c r="A1656" s="3" t="str">
        <f t="shared" si="26"/>
        <v/>
      </c>
    </row>
    <row r="1657" spans="1:1" x14ac:dyDescent="0.25">
      <c r="A1657" s="3" t="str">
        <f t="shared" si="26"/>
        <v/>
      </c>
    </row>
    <row r="1658" spans="1:1" x14ac:dyDescent="0.25">
      <c r="A1658" s="3" t="str">
        <f t="shared" si="26"/>
        <v/>
      </c>
    </row>
    <row r="1659" spans="1:1" x14ac:dyDescent="0.25">
      <c r="A1659" s="3" t="str">
        <f t="shared" si="26"/>
        <v/>
      </c>
    </row>
    <row r="1660" spans="1:1" x14ac:dyDescent="0.25">
      <c r="A1660" s="3" t="str">
        <f t="shared" si="26"/>
        <v/>
      </c>
    </row>
    <row r="1661" spans="1:1" x14ac:dyDescent="0.25">
      <c r="A1661" s="3" t="str">
        <f t="shared" si="26"/>
        <v/>
      </c>
    </row>
    <row r="1662" spans="1:1" x14ac:dyDescent="0.25">
      <c r="A1662" s="3" t="str">
        <f t="shared" si="26"/>
        <v/>
      </c>
    </row>
    <row r="1663" spans="1:1" x14ac:dyDescent="0.25">
      <c r="A1663" s="3" t="str">
        <f t="shared" si="26"/>
        <v/>
      </c>
    </row>
    <row r="1664" spans="1:1" x14ac:dyDescent="0.25">
      <c r="A1664" s="3" t="str">
        <f t="shared" si="26"/>
        <v/>
      </c>
    </row>
    <row r="1665" spans="1:1" x14ac:dyDescent="0.25">
      <c r="A1665" s="3" t="str">
        <f t="shared" si="26"/>
        <v/>
      </c>
    </row>
    <row r="1666" spans="1:1" x14ac:dyDescent="0.25">
      <c r="A1666" s="3" t="str">
        <f t="shared" si="26"/>
        <v/>
      </c>
    </row>
    <row r="1667" spans="1:1" x14ac:dyDescent="0.25">
      <c r="A1667" s="3" t="str">
        <f t="shared" si="26"/>
        <v/>
      </c>
    </row>
    <row r="1668" spans="1:1" x14ac:dyDescent="0.25">
      <c r="A1668" s="3" t="str">
        <f t="shared" si="26"/>
        <v/>
      </c>
    </row>
    <row r="1669" spans="1:1" x14ac:dyDescent="0.25">
      <c r="A1669" s="3" t="str">
        <f t="shared" si="26"/>
        <v/>
      </c>
    </row>
    <row r="1670" spans="1:1" x14ac:dyDescent="0.25">
      <c r="A1670" s="3" t="str">
        <f t="shared" si="26"/>
        <v/>
      </c>
    </row>
    <row r="1671" spans="1:1" x14ac:dyDescent="0.25">
      <c r="A1671" s="3" t="str">
        <f t="shared" si="26"/>
        <v/>
      </c>
    </row>
    <row r="1672" spans="1:1" x14ac:dyDescent="0.25">
      <c r="A1672" s="3" t="str">
        <f t="shared" si="26"/>
        <v/>
      </c>
    </row>
    <row r="1673" spans="1:1" x14ac:dyDescent="0.25">
      <c r="A1673" s="3" t="str">
        <f t="shared" ref="A1673:A1697" si="27">IF(B1673&lt;&gt; "",ROW(B1673) - 8,"")</f>
        <v/>
      </c>
    </row>
    <row r="1674" spans="1:1" x14ac:dyDescent="0.25">
      <c r="A1674" s="3" t="str">
        <f t="shared" si="27"/>
        <v/>
      </c>
    </row>
    <row r="1675" spans="1:1" x14ac:dyDescent="0.25">
      <c r="A1675" s="3" t="str">
        <f t="shared" si="27"/>
        <v/>
      </c>
    </row>
    <row r="1676" spans="1:1" x14ac:dyDescent="0.25">
      <c r="A1676" s="3" t="str">
        <f t="shared" si="27"/>
        <v/>
      </c>
    </row>
    <row r="1677" spans="1:1" x14ac:dyDescent="0.25">
      <c r="A1677" s="3" t="str">
        <f t="shared" si="27"/>
        <v/>
      </c>
    </row>
    <row r="1678" spans="1:1" x14ac:dyDescent="0.25">
      <c r="A1678" s="3" t="str">
        <f t="shared" si="27"/>
        <v/>
      </c>
    </row>
    <row r="1679" spans="1:1" x14ac:dyDescent="0.25">
      <c r="A1679" s="3" t="str">
        <f t="shared" si="27"/>
        <v/>
      </c>
    </row>
    <row r="1680" spans="1:1" x14ac:dyDescent="0.25">
      <c r="A1680" s="3" t="str">
        <f t="shared" si="27"/>
        <v/>
      </c>
    </row>
    <row r="1681" spans="1:1" x14ac:dyDescent="0.25">
      <c r="A1681" s="3" t="str">
        <f t="shared" si="27"/>
        <v/>
      </c>
    </row>
    <row r="1682" spans="1:1" x14ac:dyDescent="0.25">
      <c r="A1682" s="3" t="str">
        <f t="shared" si="27"/>
        <v/>
      </c>
    </row>
    <row r="1683" spans="1:1" x14ac:dyDescent="0.25">
      <c r="A1683" s="3" t="str">
        <f t="shared" si="27"/>
        <v/>
      </c>
    </row>
    <row r="1684" spans="1:1" x14ac:dyDescent="0.25">
      <c r="A1684" s="3" t="str">
        <f t="shared" si="27"/>
        <v/>
      </c>
    </row>
    <row r="1685" spans="1:1" x14ac:dyDescent="0.25">
      <c r="A1685" s="3" t="str">
        <f t="shared" si="27"/>
        <v/>
      </c>
    </row>
    <row r="1686" spans="1:1" x14ac:dyDescent="0.25">
      <c r="A1686" s="3" t="str">
        <f t="shared" si="27"/>
        <v/>
      </c>
    </row>
    <row r="1687" spans="1:1" x14ac:dyDescent="0.25">
      <c r="A1687" s="3" t="str">
        <f t="shared" si="27"/>
        <v/>
      </c>
    </row>
    <row r="1688" spans="1:1" x14ac:dyDescent="0.25">
      <c r="A1688" s="3" t="str">
        <f t="shared" si="27"/>
        <v/>
      </c>
    </row>
    <row r="1689" spans="1:1" x14ac:dyDescent="0.25">
      <c r="A1689" s="3" t="str">
        <f t="shared" si="27"/>
        <v/>
      </c>
    </row>
    <row r="1690" spans="1:1" x14ac:dyDescent="0.25">
      <c r="A1690" s="3" t="str">
        <f t="shared" si="27"/>
        <v/>
      </c>
    </row>
    <row r="1691" spans="1:1" x14ac:dyDescent="0.25">
      <c r="A1691" s="3" t="str">
        <f t="shared" si="27"/>
        <v/>
      </c>
    </row>
    <row r="1692" spans="1:1" x14ac:dyDescent="0.25">
      <c r="A1692" s="3" t="str">
        <f t="shared" si="27"/>
        <v/>
      </c>
    </row>
    <row r="1693" spans="1:1" x14ac:dyDescent="0.25">
      <c r="A1693" s="3" t="str">
        <f t="shared" si="27"/>
        <v/>
      </c>
    </row>
    <row r="1694" spans="1:1" x14ac:dyDescent="0.25">
      <c r="A1694" s="3" t="str">
        <f t="shared" si="27"/>
        <v/>
      </c>
    </row>
    <row r="1695" spans="1:1" x14ac:dyDescent="0.25">
      <c r="A1695" s="3" t="str">
        <f t="shared" si="27"/>
        <v/>
      </c>
    </row>
    <row r="1696" spans="1:1" x14ac:dyDescent="0.25">
      <c r="A1696" s="3" t="str">
        <f t="shared" si="27"/>
        <v/>
      </c>
    </row>
    <row r="1697" spans="1:1" x14ac:dyDescent="0.25">
      <c r="A1697" s="3" t="str">
        <f t="shared" si="27"/>
        <v/>
      </c>
    </row>
  </sheetData>
  <sheetProtection formatCells="0" formatColumns="0" formatRows="0" autoFilter="0"/>
  <protectedRanges>
    <protectedRange sqref="B9:XFD1048576" name="Диапазон1"/>
  </protectedRanges>
  <autoFilter ref="A8:Q1697"/>
  <mergeCells count="8">
    <mergeCell ref="K7:K8"/>
    <mergeCell ref="K2:K4"/>
    <mergeCell ref="Q7:Q8"/>
    <mergeCell ref="L7:L8"/>
    <mergeCell ref="M7:M8"/>
    <mergeCell ref="N7:N8"/>
    <mergeCell ref="O7:O8"/>
    <mergeCell ref="P7:P8"/>
  </mergeCells>
  <dataValidations count="1">
    <dataValidation type="list" allowBlank="1" showInputMessage="1" showErrorMessage="1" sqref="G9:G370">
      <formula1>"Активный,Уволен"</formula1>
    </dataValidation>
  </dataValidations>
  <hyperlinks>
    <hyperlink ref="C10" r:id="rId1"/>
    <hyperlink ref="C11" r:id="rId2"/>
    <hyperlink ref="C15" r:id="rId3"/>
    <hyperlink ref="C14" r:id="rId4"/>
    <hyperlink ref="C12" r:id="rId5"/>
    <hyperlink ref="C13" r:id="rId6"/>
    <hyperlink ref="C9" r:id="rId7"/>
    <hyperlink ref="C18" r:id="rId8"/>
    <hyperlink ref="C1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2091" r:id="rId13" name="CommandButton4">
          <controlPr defaultSize="0" autoFill="0" autoLine="0" r:id="rId14">
            <anchor moveWithCells="1">
              <from>
                <xdr:col>7</xdr:col>
                <xdr:colOff>38100</xdr:colOff>
                <xdr:row>1</xdr:row>
                <xdr:rowOff>9525</xdr:rowOff>
              </from>
              <to>
                <xdr:col>8</xdr:col>
                <xdr:colOff>28575</xdr:colOff>
                <xdr:row>3</xdr:row>
                <xdr:rowOff>352425</xdr:rowOff>
              </to>
            </anchor>
          </controlPr>
        </control>
      </mc:Choice>
      <mc:Fallback>
        <control shapeId="2091" r:id="rId13" name="CommandButton4"/>
      </mc:Fallback>
    </mc:AlternateContent>
    <mc:AlternateContent xmlns:mc="http://schemas.openxmlformats.org/markup-compatibility/2006">
      <mc:Choice Requires="x14">
        <control shapeId="2090" r:id="rId15" name="CommandButton3">
          <controlPr defaultSize="0" autoFill="0" autoLine="0" r:id="rId16">
            <anchor moveWithCells="1">
              <from>
                <xdr:col>4</xdr:col>
                <xdr:colOff>1581150</xdr:colOff>
                <xdr:row>1</xdr:row>
                <xdr:rowOff>0</xdr:rowOff>
              </from>
              <to>
                <xdr:col>6</xdr:col>
                <xdr:colOff>866775</xdr:colOff>
                <xdr:row>3</xdr:row>
                <xdr:rowOff>342900</xdr:rowOff>
              </to>
            </anchor>
          </controlPr>
        </control>
      </mc:Choice>
      <mc:Fallback>
        <control shapeId="2090" r:id="rId15" name="CommandButton3"/>
      </mc:Fallback>
    </mc:AlternateContent>
    <mc:AlternateContent xmlns:mc="http://schemas.openxmlformats.org/markup-compatibility/2006">
      <mc:Choice Requires="x14">
        <control shapeId="2089" r:id="rId17" name="CommandButton2">
          <controlPr defaultSize="0" autoFill="0" autoLine="0" r:id="rId18">
            <anchor moveWithCells="1">
              <from>
                <xdr:col>3</xdr:col>
                <xdr:colOff>866775</xdr:colOff>
                <xdr:row>1</xdr:row>
                <xdr:rowOff>0</xdr:rowOff>
              </from>
              <to>
                <xdr:col>4</xdr:col>
                <xdr:colOff>1209675</xdr:colOff>
                <xdr:row>3</xdr:row>
                <xdr:rowOff>342900</xdr:rowOff>
              </to>
            </anchor>
          </controlPr>
        </control>
      </mc:Choice>
      <mc:Fallback>
        <control shapeId="2089" r:id="rId17" name="CommandButton2"/>
      </mc:Fallback>
    </mc:AlternateContent>
    <mc:AlternateContent xmlns:mc="http://schemas.openxmlformats.org/markup-compatibility/2006">
      <mc:Choice Requires="x14">
        <control shapeId="2082" r:id="rId19" name="CommandButton1">
          <controlPr defaultSize="0" autoFill="0" autoLine="0" r:id="rId20">
            <anchor moveWithCells="1">
              <from>
                <xdr:col>2</xdr:col>
                <xdr:colOff>304800</xdr:colOff>
                <xdr:row>1</xdr:row>
                <xdr:rowOff>0</xdr:rowOff>
              </from>
              <to>
                <xdr:col>3</xdr:col>
                <xdr:colOff>514350</xdr:colOff>
                <xdr:row>3</xdr:row>
                <xdr:rowOff>342900</xdr:rowOff>
              </to>
            </anchor>
          </controlPr>
        </control>
      </mc:Choice>
      <mc:Fallback>
        <control shapeId="2082" r:id="rId1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8FBDD8"/>
  </sheetPr>
  <dimension ref="A1:BC641"/>
  <sheetViews>
    <sheetView workbookViewId="0">
      <selection activeCell="G25" sqref="G25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1" t="s">
        <v>15</v>
      </c>
      <c r="C3" s="63" t="s">
        <v>102</v>
      </c>
      <c r="D3" s="63"/>
      <c r="E3" s="64"/>
    </row>
    <row r="4" spans="1:55" s="24" customFormat="1" ht="15" customHeight="1" x14ac:dyDescent="0.25">
      <c r="B4" s="62"/>
      <c r="C4" s="65"/>
      <c r="D4" s="65"/>
      <c r="E4" s="66"/>
    </row>
    <row r="5" spans="1:55" s="24" customFormat="1" ht="15" customHeight="1" x14ac:dyDescent="0.25">
      <c r="B5" s="62" t="s">
        <v>16</v>
      </c>
      <c r="C5" s="68">
        <v>3</v>
      </c>
      <c r="D5" s="68"/>
      <c r="E5" s="69"/>
    </row>
    <row r="6" spans="1:55" s="24" customFormat="1" ht="15" customHeight="1" thickBot="1" x14ac:dyDescent="0.3">
      <c r="B6" s="67"/>
      <c r="C6" s="70"/>
      <c r="D6" s="70"/>
      <c r="E6" s="71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50" t="s">
        <v>90</v>
      </c>
      <c r="E8" s="50" t="s">
        <v>91</v>
      </c>
      <c r="F8" s="27" t="s">
        <v>5</v>
      </c>
      <c r="G8" s="50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>
        <f>IF(B9&lt;&gt; "",ROW(B9) - 8,"")</f>
        <v>1</v>
      </c>
      <c r="B9" s="44" t="s">
        <v>101</v>
      </c>
      <c r="C9" s="44" t="s">
        <v>100</v>
      </c>
      <c r="D9" s="44" t="s">
        <v>8</v>
      </c>
      <c r="E9" s="44">
        <v>6996</v>
      </c>
      <c r="F9" s="44">
        <v>23</v>
      </c>
      <c r="G9" s="44" t="s">
        <v>18</v>
      </c>
      <c r="H9" s="45">
        <v>44593</v>
      </c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>
        <f t="shared" ref="A10:A73" si="0">IF(B10&lt;&gt; "",ROW(B10) - 8,"")</f>
        <v>2</v>
      </c>
      <c r="B10" s="3" t="s">
        <v>10</v>
      </c>
      <c r="C10" s="3" t="s">
        <v>26</v>
      </c>
      <c r="D10" s="3" t="s">
        <v>8</v>
      </c>
      <c r="E10" s="3">
        <v>6911</v>
      </c>
      <c r="F10" s="3">
        <v>23</v>
      </c>
      <c r="G10" s="3" t="s">
        <v>14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>
        <f t="shared" si="0"/>
        <v>3</v>
      </c>
      <c r="B11" s="3" t="s">
        <v>96</v>
      </c>
      <c r="C11" s="3" t="s">
        <v>97</v>
      </c>
      <c r="D11" s="3" t="s">
        <v>8</v>
      </c>
      <c r="E11" s="3">
        <v>6918</v>
      </c>
      <c r="F11" s="3">
        <v>23</v>
      </c>
      <c r="G11" s="3" t="s">
        <v>18</v>
      </c>
      <c r="H11" s="46">
        <v>44562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>
        <f t="shared" si="0"/>
        <v>4</v>
      </c>
      <c r="B12" s="3" t="s">
        <v>98</v>
      </c>
      <c r="C12" s="3" t="s">
        <v>99</v>
      </c>
      <c r="D12" s="3" t="s">
        <v>8</v>
      </c>
      <c r="E12" s="3">
        <v>6916</v>
      </c>
      <c r="F12" s="3">
        <v>23</v>
      </c>
      <c r="G12" s="3" t="s">
        <v>18</v>
      </c>
      <c r="H12" s="46">
        <v>44531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>
        <f t="shared" si="0"/>
        <v>5</v>
      </c>
      <c r="B13" s="3" t="s">
        <v>7</v>
      </c>
      <c r="C13" s="3" t="s">
        <v>25</v>
      </c>
      <c r="D13" s="3" t="s">
        <v>8</v>
      </c>
      <c r="E13" s="3">
        <v>6910</v>
      </c>
      <c r="F13" s="3">
        <v>23</v>
      </c>
      <c r="G13" s="3" t="s">
        <v>18</v>
      </c>
      <c r="H13" s="46">
        <v>44552</v>
      </c>
      <c r="I13" s="46">
        <v>44583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>
        <f t="shared" si="0"/>
        <v>6</v>
      </c>
      <c r="B14" s="3" t="s">
        <v>94</v>
      </c>
      <c r="C14" s="3" t="s">
        <v>95</v>
      </c>
      <c r="D14" s="3" t="s">
        <v>8</v>
      </c>
      <c r="E14" s="3">
        <v>6914</v>
      </c>
      <c r="F14" s="3">
        <v>16</v>
      </c>
      <c r="G14" s="3" t="s">
        <v>18</v>
      </c>
      <c r="H14" s="46">
        <v>44562</v>
      </c>
      <c r="I14" s="46">
        <v>44575</v>
      </c>
      <c r="J14" s="46">
        <v>44634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>
        <f t="shared" si="0"/>
        <v>7</v>
      </c>
      <c r="B15" s="3" t="s">
        <v>92</v>
      </c>
      <c r="C15" s="3" t="s">
        <v>93</v>
      </c>
      <c r="D15" s="3" t="s">
        <v>8</v>
      </c>
      <c r="E15" s="3">
        <v>6907</v>
      </c>
      <c r="F15" s="3">
        <v>16</v>
      </c>
      <c r="G15" s="3" t="s">
        <v>18</v>
      </c>
      <c r="H15" s="46">
        <v>44562</v>
      </c>
      <c r="I15" s="46">
        <v>44575</v>
      </c>
      <c r="J15" s="46">
        <v>44606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>
        <f t="shared" si="0"/>
        <v>8</v>
      </c>
      <c r="B16" s="3" t="s">
        <v>104</v>
      </c>
      <c r="C16" s="3" t="s">
        <v>110</v>
      </c>
      <c r="D16" s="3" t="s">
        <v>8</v>
      </c>
      <c r="E16" s="3">
        <v>6957</v>
      </c>
      <c r="F16" s="3">
        <v>16</v>
      </c>
      <c r="G16" s="3" t="s">
        <v>18</v>
      </c>
      <c r="H16" s="46">
        <v>44531</v>
      </c>
      <c r="I16" s="46">
        <v>44582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>
        <f t="shared" si="0"/>
        <v>9</v>
      </c>
      <c r="B17" s="3" t="s">
        <v>105</v>
      </c>
      <c r="C17" s="3" t="s">
        <v>109</v>
      </c>
      <c r="D17" s="3" t="s">
        <v>8</v>
      </c>
      <c r="E17" s="3">
        <v>6912</v>
      </c>
      <c r="F17" s="3">
        <v>16</v>
      </c>
      <c r="G17" s="3" t="s">
        <v>18</v>
      </c>
      <c r="H17" s="46">
        <v>44576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>
        <f t="shared" si="0"/>
        <v>10</v>
      </c>
      <c r="B18" s="3" t="s">
        <v>106</v>
      </c>
      <c r="C18" s="3" t="s">
        <v>107</v>
      </c>
      <c r="D18" s="3" t="s">
        <v>8</v>
      </c>
      <c r="E18" s="3">
        <v>6919</v>
      </c>
      <c r="F18" s="3">
        <v>16</v>
      </c>
      <c r="G18" s="3" t="s">
        <v>18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B3:B4"/>
    <mergeCell ref="C3:E4"/>
    <mergeCell ref="B5:B6"/>
    <mergeCell ref="C5:E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8FBDD8"/>
  </sheetPr>
  <dimension ref="A1:BC641"/>
  <sheetViews>
    <sheetView workbookViewId="0">
      <selection activeCell="C18" sqref="C18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1" t="s">
        <v>15</v>
      </c>
      <c r="C3" s="63" t="s">
        <v>6</v>
      </c>
      <c r="D3" s="63"/>
      <c r="E3" s="64"/>
    </row>
    <row r="4" spans="1:55" s="24" customFormat="1" ht="15" customHeight="1" x14ac:dyDescent="0.25">
      <c r="B4" s="62"/>
      <c r="C4" s="65"/>
      <c r="D4" s="65"/>
      <c r="E4" s="66"/>
    </row>
    <row r="5" spans="1:55" s="24" customFormat="1" ht="15" customHeight="1" x14ac:dyDescent="0.25">
      <c r="B5" s="62" t="s">
        <v>16</v>
      </c>
      <c r="C5" s="68">
        <v>12</v>
      </c>
      <c r="D5" s="68"/>
      <c r="E5" s="69"/>
    </row>
    <row r="6" spans="1:55" s="24" customFormat="1" ht="15" customHeight="1" thickBot="1" x14ac:dyDescent="0.3">
      <c r="B6" s="67"/>
      <c r="C6" s="70"/>
      <c r="D6" s="70"/>
      <c r="E6" s="71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50" t="s">
        <v>90</v>
      </c>
      <c r="E8" s="50" t="s">
        <v>91</v>
      </c>
      <c r="F8" s="27" t="s">
        <v>5</v>
      </c>
      <c r="G8" s="50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>
        <f>IF(B9&lt;&gt; "",ROW(B9) - 8,"")</f>
        <v>1</v>
      </c>
      <c r="B9" s="44" t="s">
        <v>101</v>
      </c>
      <c r="C9" s="44" t="s">
        <v>100</v>
      </c>
      <c r="D9" s="44" t="s">
        <v>8</v>
      </c>
      <c r="E9" s="44">
        <v>6996</v>
      </c>
      <c r="F9" s="44">
        <v>23</v>
      </c>
      <c r="G9" s="44" t="s">
        <v>18</v>
      </c>
      <c r="H9" s="45">
        <v>44378</v>
      </c>
      <c r="I9" s="45">
        <v>44381</v>
      </c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>
        <f t="shared" ref="A10:A73" si="0">IF(B10&lt;&gt; "",ROW(B10) - 8,"")</f>
        <v>2</v>
      </c>
      <c r="B10" s="3" t="s">
        <v>10</v>
      </c>
      <c r="C10" s="3" t="s">
        <v>26</v>
      </c>
      <c r="D10" s="3" t="s">
        <v>8</v>
      </c>
      <c r="E10" s="3">
        <v>6911</v>
      </c>
      <c r="F10" s="3">
        <v>23</v>
      </c>
      <c r="G10" s="3" t="s">
        <v>14</v>
      </c>
      <c r="H10" s="46">
        <v>44378</v>
      </c>
      <c r="I10" s="46">
        <v>44348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>
        <f t="shared" si="0"/>
        <v>3</v>
      </c>
      <c r="B11" s="3" t="s">
        <v>96</v>
      </c>
      <c r="C11" s="3" t="s">
        <v>97</v>
      </c>
      <c r="D11" s="3" t="s">
        <v>8</v>
      </c>
      <c r="E11" s="3">
        <v>6918</v>
      </c>
      <c r="F11" s="3">
        <v>23</v>
      </c>
      <c r="G11" s="3" t="s">
        <v>18</v>
      </c>
      <c r="H11" s="46">
        <v>44378</v>
      </c>
      <c r="I11" s="46">
        <v>44388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>
        <f t="shared" si="0"/>
        <v>4</v>
      </c>
      <c r="B12" s="3" t="s">
        <v>98</v>
      </c>
      <c r="C12" s="3" t="s">
        <v>99</v>
      </c>
      <c r="D12" s="3" t="s">
        <v>8</v>
      </c>
      <c r="E12" s="3">
        <v>6916</v>
      </c>
      <c r="F12" s="3">
        <v>23</v>
      </c>
      <c r="G12" s="3" t="s">
        <v>18</v>
      </c>
      <c r="H12" s="46">
        <v>44378</v>
      </c>
      <c r="I12" s="46">
        <v>44429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>
        <f t="shared" si="0"/>
        <v>5</v>
      </c>
      <c r="B13" s="3" t="s">
        <v>7</v>
      </c>
      <c r="C13" s="3" t="s">
        <v>25</v>
      </c>
      <c r="D13" s="3" t="s">
        <v>8</v>
      </c>
      <c r="E13" s="3">
        <v>6910</v>
      </c>
      <c r="F13" s="3">
        <v>23</v>
      </c>
      <c r="G13" s="3" t="s">
        <v>18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>
        <f t="shared" si="0"/>
        <v>6</v>
      </c>
      <c r="B14" s="3" t="s">
        <v>94</v>
      </c>
      <c r="C14" s="3" t="s">
        <v>95</v>
      </c>
      <c r="D14" s="3" t="s">
        <v>8</v>
      </c>
      <c r="E14" s="3">
        <v>6914</v>
      </c>
      <c r="F14" s="3">
        <v>16</v>
      </c>
      <c r="G14" s="3" t="s">
        <v>18</v>
      </c>
      <c r="H14" s="46">
        <v>44274</v>
      </c>
      <c r="I14" s="46">
        <v>44305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>
        <f t="shared" si="0"/>
        <v>7</v>
      </c>
      <c r="B15" s="3" t="s">
        <v>92</v>
      </c>
      <c r="C15" s="3" t="s">
        <v>93</v>
      </c>
      <c r="D15" s="3" t="s">
        <v>8</v>
      </c>
      <c r="E15" s="3">
        <v>6907</v>
      </c>
      <c r="F15" s="3">
        <v>16</v>
      </c>
      <c r="G15" s="3" t="s">
        <v>18</v>
      </c>
      <c r="H15" s="46">
        <v>44378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>
        <f t="shared" si="0"/>
        <v>8</v>
      </c>
      <c r="B16" s="3" t="s">
        <v>104</v>
      </c>
      <c r="C16" s="3" t="s">
        <v>110</v>
      </c>
      <c r="D16" s="3" t="s">
        <v>8</v>
      </c>
      <c r="E16" s="3">
        <v>6957</v>
      </c>
      <c r="F16" s="3">
        <v>16</v>
      </c>
      <c r="G16" s="3" t="s">
        <v>18</v>
      </c>
      <c r="H16" s="46">
        <v>44388</v>
      </c>
      <c r="I16" s="46">
        <v>44425</v>
      </c>
      <c r="J16" s="46">
        <v>44275</v>
      </c>
      <c r="K16" s="46">
        <v>44306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>
        <f t="shared" si="0"/>
        <v>9</v>
      </c>
      <c r="B17" s="3" t="s">
        <v>105</v>
      </c>
      <c r="C17" s="3" t="s">
        <v>109</v>
      </c>
      <c r="D17" s="3" t="s">
        <v>8</v>
      </c>
      <c r="E17" s="3">
        <v>6912</v>
      </c>
      <c r="F17" s="3">
        <v>16</v>
      </c>
      <c r="G17" s="3" t="s">
        <v>18</v>
      </c>
      <c r="H17" s="46">
        <v>44476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>
        <f t="shared" si="0"/>
        <v>10</v>
      </c>
      <c r="B18" s="3" t="s">
        <v>106</v>
      </c>
      <c r="C18" s="3" t="s">
        <v>107</v>
      </c>
      <c r="D18" s="3" t="s">
        <v>8</v>
      </c>
      <c r="E18" s="3">
        <v>6919</v>
      </c>
      <c r="F18" s="3">
        <v>16</v>
      </c>
      <c r="G18" s="3" t="s">
        <v>18</v>
      </c>
      <c r="H18" s="46">
        <v>44388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B3:B4"/>
    <mergeCell ref="C3:E4"/>
    <mergeCell ref="B5:B6"/>
    <mergeCell ref="C5:E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8FBDD8"/>
  </sheetPr>
  <dimension ref="A1:BC641"/>
  <sheetViews>
    <sheetView workbookViewId="0">
      <selection activeCell="E36" sqref="E36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1" t="s">
        <v>15</v>
      </c>
      <c r="C3" s="63" t="s">
        <v>27</v>
      </c>
      <c r="D3" s="63"/>
      <c r="E3" s="64"/>
    </row>
    <row r="4" spans="1:55" s="24" customFormat="1" ht="15" customHeight="1" x14ac:dyDescent="0.25">
      <c r="B4" s="62"/>
      <c r="C4" s="65"/>
      <c r="D4" s="65"/>
      <c r="E4" s="66"/>
    </row>
    <row r="5" spans="1:55" s="24" customFormat="1" ht="15" customHeight="1" x14ac:dyDescent="0.25">
      <c r="B5" s="62" t="s">
        <v>16</v>
      </c>
      <c r="C5" s="68">
        <v>6</v>
      </c>
      <c r="D5" s="68"/>
      <c r="E5" s="69"/>
    </row>
    <row r="6" spans="1:55" s="24" customFormat="1" ht="15" customHeight="1" thickBot="1" x14ac:dyDescent="0.3">
      <c r="B6" s="67"/>
      <c r="C6" s="70"/>
      <c r="D6" s="70"/>
      <c r="E6" s="71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50" t="s">
        <v>90</v>
      </c>
      <c r="E8" s="50" t="s">
        <v>91</v>
      </c>
      <c r="F8" s="27" t="s">
        <v>5</v>
      </c>
      <c r="G8" s="50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>
        <f>IF(B9&lt;&gt; "",ROW(B9) - 8,"")</f>
        <v>1</v>
      </c>
      <c r="B9" s="44" t="s">
        <v>101</v>
      </c>
      <c r="C9" s="44" t="s">
        <v>100</v>
      </c>
      <c r="D9" s="44" t="s">
        <v>8</v>
      </c>
      <c r="E9" s="44">
        <v>6996</v>
      </c>
      <c r="F9" s="44">
        <v>23</v>
      </c>
      <c r="G9" s="44" t="s">
        <v>18</v>
      </c>
      <c r="H9" s="45">
        <v>44470</v>
      </c>
      <c r="I9" s="45">
        <v>44501</v>
      </c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>
        <f t="shared" ref="A10:A73" si="0">IF(B10&lt;&gt; "",ROW(B10) - 8,"")</f>
        <v>2</v>
      </c>
      <c r="B10" s="3" t="s">
        <v>10</v>
      </c>
      <c r="C10" s="3" t="s">
        <v>26</v>
      </c>
      <c r="D10" s="3" t="s">
        <v>8</v>
      </c>
      <c r="E10" s="3">
        <v>6911</v>
      </c>
      <c r="F10" s="3">
        <v>23</v>
      </c>
      <c r="G10" s="3" t="s">
        <v>14</v>
      </c>
      <c r="H10" s="46">
        <v>44215</v>
      </c>
      <c r="I10" s="46">
        <v>44246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>
        <f t="shared" si="0"/>
        <v>3</v>
      </c>
      <c r="B11" s="3" t="s">
        <v>96</v>
      </c>
      <c r="C11" s="3" t="s">
        <v>97</v>
      </c>
      <c r="D11" s="3" t="s">
        <v>8</v>
      </c>
      <c r="E11" s="3">
        <v>6918</v>
      </c>
      <c r="F11" s="3">
        <v>23</v>
      </c>
      <c r="G11" s="3" t="s">
        <v>18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>
        <f t="shared" si="0"/>
        <v>4</v>
      </c>
      <c r="B12" s="3" t="s">
        <v>98</v>
      </c>
      <c r="C12" s="3" t="s">
        <v>99</v>
      </c>
      <c r="D12" s="3" t="s">
        <v>8</v>
      </c>
      <c r="E12" s="3">
        <v>6916</v>
      </c>
      <c r="F12" s="3">
        <v>23</v>
      </c>
      <c r="G12" s="3" t="s">
        <v>18</v>
      </c>
      <c r="H12" s="46">
        <v>44470</v>
      </c>
      <c r="I12" s="46">
        <v>44501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>
        <f t="shared" si="0"/>
        <v>5</v>
      </c>
      <c r="B13" s="3" t="s">
        <v>7</v>
      </c>
      <c r="C13" s="3" t="s">
        <v>25</v>
      </c>
      <c r="D13" s="3" t="s">
        <v>8</v>
      </c>
      <c r="E13" s="3">
        <v>6910</v>
      </c>
      <c r="F13" s="3">
        <v>23</v>
      </c>
      <c r="G13" s="3" t="s">
        <v>18</v>
      </c>
      <c r="H13" s="46">
        <v>44378</v>
      </c>
      <c r="I13" s="46">
        <v>44440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>
        <f t="shared" si="0"/>
        <v>6</v>
      </c>
      <c r="B14" s="3" t="s">
        <v>94</v>
      </c>
      <c r="C14" s="3" t="s">
        <v>95</v>
      </c>
      <c r="D14" s="3" t="s">
        <v>8</v>
      </c>
      <c r="E14" s="3">
        <v>6914</v>
      </c>
      <c r="F14" s="3">
        <v>16</v>
      </c>
      <c r="G14" s="3" t="s">
        <v>18</v>
      </c>
      <c r="H14" s="46">
        <v>44475</v>
      </c>
      <c r="I14" s="46">
        <v>44536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>
        <f t="shared" si="0"/>
        <v>7</v>
      </c>
      <c r="B15" s="3" t="s">
        <v>92</v>
      </c>
      <c r="C15" s="3" t="s">
        <v>93</v>
      </c>
      <c r="D15" s="3" t="s">
        <v>8</v>
      </c>
      <c r="E15" s="3">
        <v>6907</v>
      </c>
      <c r="F15" s="3">
        <v>16</v>
      </c>
      <c r="G15" s="3" t="s">
        <v>18</v>
      </c>
      <c r="H15" s="46">
        <v>44476</v>
      </c>
      <c r="I15" s="46">
        <v>44537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>
        <f t="shared" si="0"/>
        <v>8</v>
      </c>
      <c r="B16" s="3" t="s">
        <v>104</v>
      </c>
      <c r="C16" s="3" t="s">
        <v>110</v>
      </c>
      <c r="D16" s="3" t="s">
        <v>8</v>
      </c>
      <c r="E16" s="3">
        <v>6957</v>
      </c>
      <c r="F16" s="3">
        <v>16</v>
      </c>
      <c r="G16" s="3" t="s">
        <v>18</v>
      </c>
      <c r="H16" s="46">
        <v>44475</v>
      </c>
      <c r="I16" s="46">
        <v>44536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>
        <f t="shared" si="0"/>
        <v>9</v>
      </c>
      <c r="B17" s="3" t="s">
        <v>105</v>
      </c>
      <c r="C17" s="3" t="s">
        <v>109</v>
      </c>
      <c r="D17" s="3" t="s">
        <v>8</v>
      </c>
      <c r="E17" s="3">
        <v>6912</v>
      </c>
      <c r="F17" s="3">
        <v>16</v>
      </c>
      <c r="G17" s="3" t="s">
        <v>18</v>
      </c>
      <c r="H17" s="46">
        <v>44379</v>
      </c>
      <c r="I17" s="46">
        <v>44441</v>
      </c>
      <c r="J17" s="46">
        <v>44532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>
        <f t="shared" si="0"/>
        <v>10</v>
      </c>
      <c r="B18" s="3" t="s">
        <v>106</v>
      </c>
      <c r="C18" s="3" t="s">
        <v>107</v>
      </c>
      <c r="D18" s="3" t="s">
        <v>8</v>
      </c>
      <c r="E18" s="3">
        <v>6919</v>
      </c>
      <c r="F18" s="3">
        <v>16</v>
      </c>
      <c r="G18" s="3" t="s">
        <v>18</v>
      </c>
      <c r="H18" s="46">
        <v>44388</v>
      </c>
      <c r="I18" s="46">
        <v>44450</v>
      </c>
      <c r="J18" s="46">
        <v>44480</v>
      </c>
      <c r="K18" s="46">
        <v>44541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B3:B4"/>
    <mergeCell ref="C3:E4"/>
    <mergeCell ref="B5:B6"/>
    <mergeCell ref="C5:E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C000"/>
  </sheetPr>
  <dimension ref="A1:C100"/>
  <sheetViews>
    <sheetView workbookViewId="0">
      <selection activeCell="B2" sqref="B2"/>
    </sheetView>
  </sheetViews>
  <sheetFormatPr defaultRowHeight="15" x14ac:dyDescent="0.25"/>
  <cols>
    <col min="2" max="2" width="51.85546875" customWidth="1"/>
    <col min="3" max="3" width="33.7109375" style="4" customWidth="1"/>
    <col min="4" max="16384" width="9.140625" style="24"/>
  </cols>
  <sheetData>
    <row r="1" spans="1:3" x14ac:dyDescent="0.25">
      <c r="A1" s="24"/>
      <c r="B1" s="24"/>
      <c r="C1" s="24"/>
    </row>
    <row r="2" spans="1:3" ht="39.75" customHeight="1" x14ac:dyDescent="0.25">
      <c r="A2" s="27" t="s">
        <v>0</v>
      </c>
      <c r="B2" s="28" t="s">
        <v>15</v>
      </c>
      <c r="C2" s="28" t="s">
        <v>16</v>
      </c>
    </row>
    <row r="3" spans="1:3" x14ac:dyDescent="0.25">
      <c r="A3" s="2">
        <f>IF(B3&lt;&gt; "",ROW(B3) - 2,"")</f>
        <v>1</v>
      </c>
      <c r="B3" s="1" t="s">
        <v>27</v>
      </c>
      <c r="C3" s="2">
        <v>6</v>
      </c>
    </row>
    <row r="4" spans="1:3" x14ac:dyDescent="0.25">
      <c r="A4" s="2">
        <f t="shared" ref="A4:A67" si="0">IF(B4&lt;&gt; "",ROW(B4) - 2,"")</f>
        <v>2</v>
      </c>
      <c r="B4" s="1" t="s">
        <v>6</v>
      </c>
      <c r="C4" s="2">
        <v>12</v>
      </c>
    </row>
    <row r="5" spans="1:3" x14ac:dyDescent="0.25">
      <c r="A5" s="2">
        <f t="shared" si="0"/>
        <v>3</v>
      </c>
      <c r="B5" s="1" t="s">
        <v>102</v>
      </c>
      <c r="C5" s="2">
        <v>3</v>
      </c>
    </row>
    <row r="6" spans="1:3" x14ac:dyDescent="0.25">
      <c r="A6" s="2" t="str">
        <f t="shared" si="0"/>
        <v/>
      </c>
      <c r="B6" s="1"/>
      <c r="C6" s="2"/>
    </row>
    <row r="7" spans="1:3" x14ac:dyDescent="0.25">
      <c r="A7" s="2" t="str">
        <f t="shared" si="0"/>
        <v/>
      </c>
      <c r="B7" s="1"/>
      <c r="C7" s="2"/>
    </row>
    <row r="8" spans="1:3" x14ac:dyDescent="0.25">
      <c r="A8" s="2" t="str">
        <f t="shared" si="0"/>
        <v/>
      </c>
      <c r="B8" s="1"/>
      <c r="C8" s="2"/>
    </row>
    <row r="9" spans="1:3" x14ac:dyDescent="0.25">
      <c r="A9" s="2" t="str">
        <f t="shared" si="0"/>
        <v/>
      </c>
      <c r="B9" s="1"/>
      <c r="C9" s="2"/>
    </row>
    <row r="10" spans="1:3" x14ac:dyDescent="0.25">
      <c r="A10" s="2" t="str">
        <f t="shared" si="0"/>
        <v/>
      </c>
      <c r="B10" s="1"/>
      <c r="C10" s="2"/>
    </row>
    <row r="11" spans="1:3" x14ac:dyDescent="0.25">
      <c r="A11" s="2" t="str">
        <f t="shared" si="0"/>
        <v/>
      </c>
      <c r="B11" s="1"/>
      <c r="C11" s="2"/>
    </row>
    <row r="12" spans="1:3" x14ac:dyDescent="0.25">
      <c r="A12" s="2" t="str">
        <f t="shared" si="0"/>
        <v/>
      </c>
      <c r="B12" s="1"/>
      <c r="C12" s="2"/>
    </row>
    <row r="13" spans="1:3" x14ac:dyDescent="0.25">
      <c r="A13" s="2" t="str">
        <f t="shared" si="0"/>
        <v/>
      </c>
      <c r="B13" s="1"/>
      <c r="C13" s="2"/>
    </row>
    <row r="14" spans="1:3" x14ac:dyDescent="0.25">
      <c r="A14" s="2" t="str">
        <f t="shared" si="0"/>
        <v/>
      </c>
      <c r="B14" s="1"/>
      <c r="C14" s="2"/>
    </row>
    <row r="15" spans="1:3" x14ac:dyDescent="0.25">
      <c r="A15" s="2" t="str">
        <f t="shared" si="0"/>
        <v/>
      </c>
      <c r="B15" s="1"/>
      <c r="C15" s="2"/>
    </row>
    <row r="16" spans="1:3" x14ac:dyDescent="0.25">
      <c r="A16" s="2" t="str">
        <f t="shared" si="0"/>
        <v/>
      </c>
      <c r="B16" s="1"/>
      <c r="C16" s="2"/>
    </row>
    <row r="17" spans="1:3" x14ac:dyDescent="0.25">
      <c r="A17" s="2" t="str">
        <f t="shared" si="0"/>
        <v/>
      </c>
      <c r="B17" s="1"/>
      <c r="C17" s="2"/>
    </row>
    <row r="18" spans="1:3" x14ac:dyDescent="0.25">
      <c r="A18" s="2" t="str">
        <f t="shared" si="0"/>
        <v/>
      </c>
      <c r="B18" s="1"/>
      <c r="C18" s="2"/>
    </row>
    <row r="19" spans="1:3" x14ac:dyDescent="0.25">
      <c r="A19" s="2" t="str">
        <f t="shared" si="0"/>
        <v/>
      </c>
      <c r="B19" s="1"/>
      <c r="C19" s="2"/>
    </row>
    <row r="20" spans="1:3" x14ac:dyDescent="0.25">
      <c r="A20" s="2" t="str">
        <f t="shared" si="0"/>
        <v/>
      </c>
      <c r="B20" s="1"/>
      <c r="C20" s="2"/>
    </row>
    <row r="21" spans="1:3" x14ac:dyDescent="0.25">
      <c r="A21" s="2" t="str">
        <f t="shared" si="0"/>
        <v/>
      </c>
      <c r="B21" s="1"/>
      <c r="C21" s="2"/>
    </row>
    <row r="22" spans="1:3" x14ac:dyDescent="0.25">
      <c r="A22" s="2" t="str">
        <f t="shared" si="0"/>
        <v/>
      </c>
      <c r="B22" s="1"/>
      <c r="C22" s="2"/>
    </row>
    <row r="23" spans="1:3" x14ac:dyDescent="0.25">
      <c r="A23" s="2" t="str">
        <f t="shared" si="0"/>
        <v/>
      </c>
      <c r="B23" s="1"/>
      <c r="C23" s="2"/>
    </row>
    <row r="24" spans="1:3" x14ac:dyDescent="0.25">
      <c r="A24" s="2" t="str">
        <f t="shared" si="0"/>
        <v/>
      </c>
      <c r="B24" s="1"/>
      <c r="C24" s="2"/>
    </row>
    <row r="25" spans="1:3" x14ac:dyDescent="0.25">
      <c r="A25" s="2" t="str">
        <f t="shared" si="0"/>
        <v/>
      </c>
      <c r="B25" s="1"/>
      <c r="C25" s="2"/>
    </row>
    <row r="26" spans="1:3" x14ac:dyDescent="0.25">
      <c r="A26" s="2" t="str">
        <f t="shared" si="0"/>
        <v/>
      </c>
      <c r="B26" s="1"/>
      <c r="C26" s="2"/>
    </row>
    <row r="27" spans="1:3" x14ac:dyDescent="0.25">
      <c r="A27" s="2" t="str">
        <f t="shared" si="0"/>
        <v/>
      </c>
      <c r="B27" s="1"/>
      <c r="C27" s="2"/>
    </row>
    <row r="28" spans="1:3" x14ac:dyDescent="0.25">
      <c r="A28" s="2" t="str">
        <f t="shared" si="0"/>
        <v/>
      </c>
      <c r="B28" s="1"/>
      <c r="C28" s="2"/>
    </row>
    <row r="29" spans="1:3" x14ac:dyDescent="0.25">
      <c r="A29" s="2" t="str">
        <f t="shared" si="0"/>
        <v/>
      </c>
      <c r="B29" s="1"/>
      <c r="C29" s="2"/>
    </row>
    <row r="30" spans="1:3" x14ac:dyDescent="0.25">
      <c r="A30" s="2" t="str">
        <f t="shared" si="0"/>
        <v/>
      </c>
      <c r="B30" s="1"/>
      <c r="C30" s="2"/>
    </row>
    <row r="31" spans="1:3" x14ac:dyDescent="0.25">
      <c r="A31" s="2" t="str">
        <f t="shared" si="0"/>
        <v/>
      </c>
      <c r="B31" s="1"/>
      <c r="C31" s="2"/>
    </row>
    <row r="32" spans="1:3" x14ac:dyDescent="0.25">
      <c r="A32" s="2" t="str">
        <f t="shared" si="0"/>
        <v/>
      </c>
      <c r="B32" s="1"/>
      <c r="C32" s="2"/>
    </row>
    <row r="33" spans="1:3" x14ac:dyDescent="0.25">
      <c r="A33" s="2" t="str">
        <f t="shared" si="0"/>
        <v/>
      </c>
      <c r="B33" s="1"/>
      <c r="C33" s="2"/>
    </row>
    <row r="34" spans="1:3" x14ac:dyDescent="0.25">
      <c r="A34" s="2" t="str">
        <f t="shared" si="0"/>
        <v/>
      </c>
      <c r="B34" s="1"/>
      <c r="C34" s="2"/>
    </row>
    <row r="35" spans="1:3" x14ac:dyDescent="0.25">
      <c r="A35" s="2" t="str">
        <f t="shared" si="0"/>
        <v/>
      </c>
      <c r="B35" s="1"/>
      <c r="C35" s="2"/>
    </row>
    <row r="36" spans="1:3" x14ac:dyDescent="0.25">
      <c r="A36" s="2" t="str">
        <f t="shared" si="0"/>
        <v/>
      </c>
      <c r="B36" s="1"/>
      <c r="C36" s="2"/>
    </row>
    <row r="37" spans="1:3" x14ac:dyDescent="0.25">
      <c r="A37" s="2" t="str">
        <f t="shared" si="0"/>
        <v/>
      </c>
      <c r="B37" s="1"/>
      <c r="C37" s="2"/>
    </row>
    <row r="38" spans="1:3" x14ac:dyDescent="0.25">
      <c r="A38" s="2" t="str">
        <f t="shared" si="0"/>
        <v/>
      </c>
      <c r="B38" s="1"/>
      <c r="C38" s="2"/>
    </row>
    <row r="39" spans="1:3" x14ac:dyDescent="0.25">
      <c r="A39" s="2" t="str">
        <f t="shared" si="0"/>
        <v/>
      </c>
      <c r="B39" s="1"/>
      <c r="C39" s="2"/>
    </row>
    <row r="40" spans="1:3" x14ac:dyDescent="0.25">
      <c r="A40" s="2" t="str">
        <f t="shared" si="0"/>
        <v/>
      </c>
      <c r="B40" s="1"/>
      <c r="C40" s="2"/>
    </row>
    <row r="41" spans="1:3" x14ac:dyDescent="0.25">
      <c r="A41" s="2" t="str">
        <f t="shared" si="0"/>
        <v/>
      </c>
      <c r="B41" s="1"/>
      <c r="C41" s="2"/>
    </row>
    <row r="42" spans="1:3" x14ac:dyDescent="0.25">
      <c r="A42" s="2" t="str">
        <f t="shared" si="0"/>
        <v/>
      </c>
      <c r="B42" s="1"/>
      <c r="C42" s="2"/>
    </row>
    <row r="43" spans="1:3" x14ac:dyDescent="0.25">
      <c r="A43" s="2" t="str">
        <f t="shared" si="0"/>
        <v/>
      </c>
      <c r="B43" s="1"/>
      <c r="C43" s="2"/>
    </row>
    <row r="44" spans="1:3" x14ac:dyDescent="0.25">
      <c r="A44" s="2" t="str">
        <f t="shared" si="0"/>
        <v/>
      </c>
      <c r="B44" s="1"/>
      <c r="C44" s="2"/>
    </row>
    <row r="45" spans="1:3" x14ac:dyDescent="0.25">
      <c r="A45" s="2" t="str">
        <f t="shared" si="0"/>
        <v/>
      </c>
      <c r="B45" s="1"/>
      <c r="C45" s="2"/>
    </row>
    <row r="46" spans="1:3" x14ac:dyDescent="0.25">
      <c r="A46" s="2" t="str">
        <f t="shared" si="0"/>
        <v/>
      </c>
      <c r="B46" s="1"/>
      <c r="C46" s="2"/>
    </row>
    <row r="47" spans="1:3" x14ac:dyDescent="0.25">
      <c r="A47" s="2" t="str">
        <f t="shared" si="0"/>
        <v/>
      </c>
      <c r="B47" s="1"/>
      <c r="C47" s="2"/>
    </row>
    <row r="48" spans="1:3" x14ac:dyDescent="0.25">
      <c r="A48" s="2" t="str">
        <f t="shared" si="0"/>
        <v/>
      </c>
      <c r="B48" s="1"/>
      <c r="C48" s="2"/>
    </row>
    <row r="49" spans="1:3" x14ac:dyDescent="0.25">
      <c r="A49" s="2" t="str">
        <f t="shared" si="0"/>
        <v/>
      </c>
      <c r="B49" s="1"/>
      <c r="C49" s="2"/>
    </row>
    <row r="50" spans="1:3" x14ac:dyDescent="0.25">
      <c r="A50" s="2" t="str">
        <f t="shared" si="0"/>
        <v/>
      </c>
      <c r="B50" s="1"/>
      <c r="C50" s="2"/>
    </row>
    <row r="51" spans="1:3" x14ac:dyDescent="0.25">
      <c r="A51" s="2" t="str">
        <f t="shared" si="0"/>
        <v/>
      </c>
      <c r="B51" s="1"/>
      <c r="C51" s="2"/>
    </row>
    <row r="52" spans="1:3" x14ac:dyDescent="0.25">
      <c r="A52" s="2" t="str">
        <f t="shared" si="0"/>
        <v/>
      </c>
      <c r="B52" s="1"/>
      <c r="C52" s="2"/>
    </row>
    <row r="53" spans="1:3" x14ac:dyDescent="0.25">
      <c r="A53" s="2" t="str">
        <f t="shared" si="0"/>
        <v/>
      </c>
      <c r="B53" s="1"/>
      <c r="C53" s="2"/>
    </row>
    <row r="54" spans="1:3" x14ac:dyDescent="0.25">
      <c r="A54" s="2" t="str">
        <f t="shared" si="0"/>
        <v/>
      </c>
      <c r="B54" s="1"/>
      <c r="C54" s="2"/>
    </row>
    <row r="55" spans="1:3" x14ac:dyDescent="0.25">
      <c r="A55" s="2" t="str">
        <f t="shared" si="0"/>
        <v/>
      </c>
      <c r="B55" s="1"/>
      <c r="C55" s="2"/>
    </row>
    <row r="56" spans="1:3" x14ac:dyDescent="0.25">
      <c r="A56" s="2" t="str">
        <f t="shared" si="0"/>
        <v/>
      </c>
      <c r="B56" s="1"/>
      <c r="C56" s="2"/>
    </row>
    <row r="57" spans="1:3" x14ac:dyDescent="0.25">
      <c r="A57" s="2" t="str">
        <f t="shared" si="0"/>
        <v/>
      </c>
      <c r="B57" s="1"/>
      <c r="C57" s="2"/>
    </row>
    <row r="58" spans="1:3" x14ac:dyDescent="0.25">
      <c r="A58" s="2" t="str">
        <f t="shared" si="0"/>
        <v/>
      </c>
      <c r="B58" s="1"/>
      <c r="C58" s="2"/>
    </row>
    <row r="59" spans="1:3" x14ac:dyDescent="0.25">
      <c r="A59" s="2" t="str">
        <f t="shared" si="0"/>
        <v/>
      </c>
      <c r="B59" s="1"/>
      <c r="C59" s="2"/>
    </row>
    <row r="60" spans="1:3" x14ac:dyDescent="0.25">
      <c r="A60" s="2" t="str">
        <f t="shared" si="0"/>
        <v/>
      </c>
      <c r="B60" s="1"/>
      <c r="C60" s="2"/>
    </row>
    <row r="61" spans="1:3" x14ac:dyDescent="0.25">
      <c r="A61" s="2" t="str">
        <f t="shared" si="0"/>
        <v/>
      </c>
      <c r="B61" s="1"/>
      <c r="C61" s="2"/>
    </row>
    <row r="62" spans="1:3" x14ac:dyDescent="0.25">
      <c r="A62" s="2" t="str">
        <f t="shared" si="0"/>
        <v/>
      </c>
      <c r="B62" s="1"/>
      <c r="C62" s="2"/>
    </row>
    <row r="63" spans="1:3" x14ac:dyDescent="0.25">
      <c r="A63" s="2" t="str">
        <f t="shared" si="0"/>
        <v/>
      </c>
      <c r="B63" s="1"/>
      <c r="C63" s="2"/>
    </row>
    <row r="64" spans="1:3" x14ac:dyDescent="0.25">
      <c r="A64" s="2" t="str">
        <f t="shared" si="0"/>
        <v/>
      </c>
      <c r="B64" s="1"/>
      <c r="C64" s="2"/>
    </row>
    <row r="65" spans="1:3" x14ac:dyDescent="0.25">
      <c r="A65" s="2" t="str">
        <f t="shared" si="0"/>
        <v/>
      </c>
      <c r="B65" s="1"/>
      <c r="C65" s="2"/>
    </row>
    <row r="66" spans="1:3" x14ac:dyDescent="0.25">
      <c r="A66" s="2" t="str">
        <f t="shared" si="0"/>
        <v/>
      </c>
      <c r="B66" s="1"/>
      <c r="C66" s="2"/>
    </row>
    <row r="67" spans="1:3" x14ac:dyDescent="0.25">
      <c r="A67" s="2" t="str">
        <f t="shared" si="0"/>
        <v/>
      </c>
      <c r="B67" s="1"/>
      <c r="C67" s="2"/>
    </row>
    <row r="68" spans="1:3" x14ac:dyDescent="0.25">
      <c r="A68" s="2" t="str">
        <f t="shared" ref="A68:A100" si="1">IF(B68&lt;&gt; "",ROW(B68) - 2,"")</f>
        <v/>
      </c>
      <c r="B68" s="1"/>
      <c r="C68" s="2"/>
    </row>
    <row r="69" spans="1:3" x14ac:dyDescent="0.25">
      <c r="A69" s="2" t="str">
        <f t="shared" si="1"/>
        <v/>
      </c>
      <c r="B69" s="1"/>
      <c r="C69" s="2"/>
    </row>
    <row r="70" spans="1:3" x14ac:dyDescent="0.25">
      <c r="A70" s="2" t="str">
        <f t="shared" si="1"/>
        <v/>
      </c>
      <c r="B70" s="1"/>
      <c r="C70" s="2"/>
    </row>
    <row r="71" spans="1:3" x14ac:dyDescent="0.25">
      <c r="A71" s="2" t="str">
        <f t="shared" si="1"/>
        <v/>
      </c>
      <c r="B71" s="1"/>
      <c r="C71" s="2"/>
    </row>
    <row r="72" spans="1:3" x14ac:dyDescent="0.25">
      <c r="A72" s="2" t="str">
        <f t="shared" si="1"/>
        <v/>
      </c>
      <c r="B72" s="1"/>
      <c r="C72" s="2"/>
    </row>
    <row r="73" spans="1:3" x14ac:dyDescent="0.25">
      <c r="A73" s="2" t="str">
        <f t="shared" si="1"/>
        <v/>
      </c>
      <c r="B73" s="1"/>
      <c r="C73" s="2"/>
    </row>
    <row r="74" spans="1:3" x14ac:dyDescent="0.25">
      <c r="A74" s="2" t="str">
        <f t="shared" si="1"/>
        <v/>
      </c>
      <c r="B74" s="1"/>
      <c r="C74" s="2"/>
    </row>
    <row r="75" spans="1:3" x14ac:dyDescent="0.25">
      <c r="A75" s="2" t="str">
        <f t="shared" si="1"/>
        <v/>
      </c>
      <c r="B75" s="1"/>
      <c r="C75" s="2"/>
    </row>
    <row r="76" spans="1:3" x14ac:dyDescent="0.25">
      <c r="A76" s="2" t="str">
        <f t="shared" si="1"/>
        <v/>
      </c>
      <c r="B76" s="1"/>
      <c r="C76" s="2"/>
    </row>
    <row r="77" spans="1:3" x14ac:dyDescent="0.25">
      <c r="A77" s="2" t="str">
        <f t="shared" si="1"/>
        <v/>
      </c>
      <c r="B77" s="1"/>
      <c r="C77" s="2"/>
    </row>
    <row r="78" spans="1:3" x14ac:dyDescent="0.25">
      <c r="A78" s="2" t="str">
        <f t="shared" si="1"/>
        <v/>
      </c>
      <c r="B78" s="1"/>
      <c r="C78" s="2"/>
    </row>
    <row r="79" spans="1:3" x14ac:dyDescent="0.25">
      <c r="A79" s="2" t="str">
        <f t="shared" si="1"/>
        <v/>
      </c>
      <c r="B79" s="1"/>
      <c r="C79" s="2"/>
    </row>
    <row r="80" spans="1:3" x14ac:dyDescent="0.25">
      <c r="A80" s="2" t="str">
        <f t="shared" si="1"/>
        <v/>
      </c>
      <c r="B80" s="1"/>
      <c r="C80" s="2"/>
    </row>
    <row r="81" spans="1:3" x14ac:dyDescent="0.25">
      <c r="A81" s="2" t="str">
        <f t="shared" si="1"/>
        <v/>
      </c>
      <c r="B81" s="1"/>
      <c r="C81" s="2"/>
    </row>
    <row r="82" spans="1:3" x14ac:dyDescent="0.25">
      <c r="A82" s="2" t="str">
        <f t="shared" si="1"/>
        <v/>
      </c>
      <c r="B82" s="1"/>
      <c r="C82" s="2"/>
    </row>
    <row r="83" spans="1:3" x14ac:dyDescent="0.25">
      <c r="A83" s="2" t="str">
        <f t="shared" si="1"/>
        <v/>
      </c>
      <c r="B83" s="1"/>
      <c r="C83" s="2"/>
    </row>
    <row r="84" spans="1:3" x14ac:dyDescent="0.25">
      <c r="A84" s="2" t="str">
        <f t="shared" si="1"/>
        <v/>
      </c>
      <c r="B84" s="1"/>
      <c r="C84" s="2"/>
    </row>
    <row r="85" spans="1:3" x14ac:dyDescent="0.25">
      <c r="A85" s="2" t="str">
        <f t="shared" si="1"/>
        <v/>
      </c>
      <c r="B85" s="1"/>
      <c r="C85" s="2"/>
    </row>
    <row r="86" spans="1:3" x14ac:dyDescent="0.25">
      <c r="A86" s="2" t="str">
        <f t="shared" si="1"/>
        <v/>
      </c>
      <c r="B86" s="1"/>
      <c r="C86" s="2"/>
    </row>
    <row r="87" spans="1:3" x14ac:dyDescent="0.25">
      <c r="A87" s="2" t="str">
        <f t="shared" si="1"/>
        <v/>
      </c>
      <c r="B87" s="1"/>
      <c r="C87" s="2"/>
    </row>
    <row r="88" spans="1:3" x14ac:dyDescent="0.25">
      <c r="A88" s="2" t="str">
        <f t="shared" si="1"/>
        <v/>
      </c>
      <c r="B88" s="1"/>
      <c r="C88" s="2"/>
    </row>
    <row r="89" spans="1:3" x14ac:dyDescent="0.25">
      <c r="A89" s="2" t="str">
        <f t="shared" si="1"/>
        <v/>
      </c>
      <c r="B89" s="1"/>
      <c r="C89" s="2"/>
    </row>
    <row r="90" spans="1:3" x14ac:dyDescent="0.25">
      <c r="A90" s="2" t="str">
        <f t="shared" si="1"/>
        <v/>
      </c>
      <c r="B90" s="1"/>
      <c r="C90" s="2"/>
    </row>
    <row r="91" spans="1:3" x14ac:dyDescent="0.25">
      <c r="A91" s="2" t="str">
        <f t="shared" si="1"/>
        <v/>
      </c>
      <c r="B91" s="1"/>
      <c r="C91" s="2"/>
    </row>
    <row r="92" spans="1:3" x14ac:dyDescent="0.25">
      <c r="A92" s="2" t="str">
        <f t="shared" si="1"/>
        <v/>
      </c>
      <c r="B92" s="1"/>
      <c r="C92" s="2"/>
    </row>
    <row r="93" spans="1:3" x14ac:dyDescent="0.25">
      <c r="A93" s="2" t="str">
        <f t="shared" si="1"/>
        <v/>
      </c>
      <c r="B93" s="1"/>
      <c r="C93" s="2"/>
    </row>
    <row r="94" spans="1:3" x14ac:dyDescent="0.25">
      <c r="A94" s="2" t="str">
        <f t="shared" si="1"/>
        <v/>
      </c>
      <c r="B94" s="1"/>
      <c r="C94" s="2"/>
    </row>
    <row r="95" spans="1:3" x14ac:dyDescent="0.25">
      <c r="A95" s="2" t="str">
        <f t="shared" si="1"/>
        <v/>
      </c>
      <c r="B95" s="1"/>
      <c r="C95" s="2"/>
    </row>
    <row r="96" spans="1:3" x14ac:dyDescent="0.25">
      <c r="A96" s="2" t="str">
        <f t="shared" si="1"/>
        <v/>
      </c>
      <c r="B96" s="1"/>
      <c r="C96" s="2"/>
    </row>
    <row r="97" spans="1:3" x14ac:dyDescent="0.25">
      <c r="A97" s="2" t="str">
        <f t="shared" si="1"/>
        <v/>
      </c>
      <c r="B97" s="1"/>
      <c r="C97" s="2"/>
    </row>
    <row r="98" spans="1:3" x14ac:dyDescent="0.25">
      <c r="A98" s="2" t="str">
        <f t="shared" si="1"/>
        <v/>
      </c>
      <c r="B98" s="1"/>
      <c r="C98" s="2"/>
    </row>
    <row r="99" spans="1:3" x14ac:dyDescent="0.25">
      <c r="A99" s="2" t="str">
        <f t="shared" si="1"/>
        <v/>
      </c>
      <c r="B99" s="1"/>
      <c r="C99" s="2"/>
    </row>
    <row r="100" spans="1:3" x14ac:dyDescent="0.25">
      <c r="A100" s="2" t="str">
        <f t="shared" si="1"/>
        <v/>
      </c>
      <c r="B100" s="1"/>
      <c r="C100" s="2"/>
    </row>
  </sheetData>
  <protectedRanges>
    <protectedRange sqref="B3:C1048576" name="Диапазон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C000"/>
  </sheetPr>
  <dimension ref="A1:CE42"/>
  <sheetViews>
    <sheetView workbookViewId="0">
      <selection activeCell="D9" sqref="D9"/>
    </sheetView>
  </sheetViews>
  <sheetFormatPr defaultRowHeight="15" x14ac:dyDescent="0.25"/>
  <cols>
    <col min="1" max="1" width="18.140625" style="1" customWidth="1"/>
    <col min="2" max="2" width="33" style="2" customWidth="1"/>
    <col min="3" max="3" width="26.140625" style="2" customWidth="1"/>
    <col min="4" max="6" width="18.140625" style="2" customWidth="1"/>
    <col min="7" max="7" width="24.5703125" style="2" customWidth="1"/>
    <col min="8" max="53" width="35.85546875" style="39" customWidth="1"/>
    <col min="54" max="16384" width="9.140625" style="39"/>
  </cols>
  <sheetData>
    <row r="1" spans="1:83" x14ac:dyDescent="0.25">
      <c r="A1" s="24"/>
      <c r="B1" s="24"/>
      <c r="C1" s="24"/>
      <c r="D1" s="24"/>
      <c r="E1" s="24"/>
      <c r="F1" s="25"/>
      <c r="G1" s="24"/>
      <c r="H1" s="41"/>
      <c r="I1" s="41"/>
      <c r="J1" s="41"/>
      <c r="K1" s="41"/>
      <c r="L1" s="41"/>
      <c r="M1" s="41"/>
      <c r="N1" s="41"/>
    </row>
    <row r="2" spans="1:83" s="40" customFormat="1" ht="39.75" customHeight="1" x14ac:dyDescent="0.25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38" t="s">
        <v>5</v>
      </c>
      <c r="G2" s="29" t="s">
        <v>13</v>
      </c>
      <c r="H2" s="42" t="str">
        <f>IF(Сотрудники!H7 &lt;&gt; "",Сотрудники!H7 &amp; CHAR(10) &amp; "(Дата последнего оповещения)","")</f>
        <v>Пожарная безопасность (пол года)
(Дата последнего оповещения)</v>
      </c>
      <c r="I2" s="42" t="str">
        <f>IF(Сотрудники!I7 &lt;&gt; "",Сотрудники!I7 &amp; CHAR(10) &amp; "(Дата последнего оповещения)","")</f>
        <v>Охрана труда (год)
(Дата последнего оповещения)</v>
      </c>
      <c r="J2" s="42" t="str">
        <f>IF(Сотрудники!J7 &lt;&gt; "",Сотрудники!J7 &amp; CHAR(10) &amp; "(Дата последнего оповещения)","")</f>
        <v>Электробезопасность (3 мес)
(Дата последнего оповещения)</v>
      </c>
      <c r="K2" s="42" t="e">
        <f>IF(Сотрудники!#REF! &lt;&gt; "",Сотрудники!#REF! &amp; CHAR(10) &amp; "(Дата последнего оповещения)","")</f>
        <v>#REF!</v>
      </c>
      <c r="L2" s="42" t="e">
        <f>IF(Сотрудники!#REF! &lt;&gt; "",Сотрудники!#REF! &amp; CHAR(10) &amp; "(Дата последнего оповещения)","")</f>
        <v>#REF!</v>
      </c>
      <c r="M2" s="42" t="str">
        <f>IF(Сотрудники!K7 &lt;&gt; "",Сотрудники!K7 &amp; CHAR(10) &amp; "(Дата последнего оповещения)","")</f>
        <v/>
      </c>
      <c r="N2" s="42" t="str">
        <f>IF(Сотрудники!L7 &lt;&gt; "",Сотрудники!L7 &amp; CHAR(10) &amp; "(Дата последнего оповещения)","")</f>
        <v/>
      </c>
      <c r="O2" s="40" t="str">
        <f>IF(Сотрудники!M7 &lt;&gt; "",Сотрудники!M7 &amp; CHAR(10) &amp; "(Дата последнего оповещения)","")</f>
        <v/>
      </c>
      <c r="P2" s="40" t="str">
        <f>IF(Сотрудники!N7 &lt;&gt; "",Сотрудники!N7 &amp; CHAR(10) &amp; "(Дата последнего оповещения)","")</f>
        <v/>
      </c>
      <c r="Q2" s="40" t="str">
        <f>IF(Сотрудники!O7 &lt;&gt; "",Сотрудники!O7 &amp; CHAR(10) &amp; "(Дата последнего оповещения)","")</f>
        <v/>
      </c>
      <c r="R2" s="40" t="str">
        <f>IF(Сотрудники!P7 &lt;&gt; "",Сотрудники!P7 &amp; CHAR(10) &amp; "(Дата последнего оповещения)","")</f>
        <v/>
      </c>
      <c r="S2" s="40" t="str">
        <f>IF(Сотрудники!Q7 &lt;&gt; "",Сотрудники!Q7 &amp; CHAR(10) &amp; "(Дата последнего оповещения)","")</f>
        <v/>
      </c>
      <c r="T2" s="40" t="str">
        <f>IF(Сотрудники!R7 &lt;&gt; "",Сотрудники!R7 &amp; CHAR(10) &amp; "(Дата последнего оповещения)","")</f>
        <v/>
      </c>
      <c r="U2" s="40" t="str">
        <f>IF(Сотрудники!S7 &lt;&gt; "",Сотрудники!S7 &amp; CHAR(10) &amp; "(Дата последнего оповещения)","")</f>
        <v/>
      </c>
      <c r="V2" s="40" t="str">
        <f>IF(Сотрудники!T7 &lt;&gt; "",Сотрудники!T7 &amp; CHAR(10) &amp; "(Дата последнего оповещения)","")</f>
        <v/>
      </c>
      <c r="W2" s="40" t="str">
        <f>IF(Сотрудники!U7 &lt;&gt; "",Сотрудники!U7 &amp; CHAR(10) &amp; "(Дата последнего оповещения)","")</f>
        <v/>
      </c>
      <c r="X2" s="40" t="str">
        <f>IF(Сотрудники!V7 &lt;&gt; "",Сотрудники!V7 &amp; CHAR(10) &amp; "(Дата последнего оповещения)","")</f>
        <v/>
      </c>
      <c r="Y2" s="40" t="str">
        <f>IF(Сотрудники!W7 &lt;&gt; "",Сотрудники!W7 &amp; CHAR(10) &amp; "(Дата последнего оповещения)","")</f>
        <v/>
      </c>
      <c r="Z2" s="40" t="str">
        <f>IF(Сотрудники!X7 &lt;&gt; "",Сотрудники!X7 &amp; CHAR(10) &amp; "(Дата последнего оповещения)","")</f>
        <v/>
      </c>
      <c r="AA2" s="40" t="str">
        <f>IF(Сотрудники!Y7 &lt;&gt; "",Сотрудники!Y7 &amp; CHAR(10) &amp; "(Дата последнего оповещения)","")</f>
        <v/>
      </c>
      <c r="AB2" s="40" t="str">
        <f>IF(Сотрудники!Z7 &lt;&gt; "",Сотрудники!Z7 &amp; CHAR(10) &amp; "(Дата последнего оповещения)","")</f>
        <v/>
      </c>
      <c r="AC2" s="40" t="str">
        <f>IF(Сотрудники!AA7 &lt;&gt; "",Сотрудники!AA7 &amp; CHAR(10) &amp; "(Дата последнего оповещения)","")</f>
        <v/>
      </c>
      <c r="AD2" s="40" t="str">
        <f>IF(Сотрудники!AB7 &lt;&gt; "",Сотрудники!AB7 &amp; CHAR(10) &amp; "(Дата последнего оповещения)","")</f>
        <v/>
      </c>
      <c r="AE2" s="40" t="str">
        <f>IF(Сотрудники!AC7 &lt;&gt; "",Сотрудники!AC7 &amp; CHAR(10) &amp; "(Дата последнего оповещения)","")</f>
        <v/>
      </c>
      <c r="AF2" s="40" t="str">
        <f>IF(Сотрудники!AD7 &lt;&gt; "",Сотрудники!AD7 &amp; CHAR(10) &amp; "(Дата последнего оповещения)","")</f>
        <v/>
      </c>
      <c r="AG2" s="40" t="str">
        <f>IF(Сотрудники!AE7 &lt;&gt; "",Сотрудники!AE7 &amp; CHAR(10) &amp; "(Дата последнего оповещения)","")</f>
        <v/>
      </c>
      <c r="AH2" s="40" t="str">
        <f>IF(Сотрудники!AF7 &lt;&gt; "",Сотрудники!AF7 &amp; CHAR(10) &amp; "(Дата последнего оповещения)","")</f>
        <v/>
      </c>
      <c r="AI2" s="40" t="str">
        <f>IF(Сотрудники!AG7 &lt;&gt; "",Сотрудники!AG7 &amp; CHAR(10) &amp; "(Дата последнего оповещения)","")</f>
        <v/>
      </c>
      <c r="AJ2" s="40" t="str">
        <f>IF(Сотрудники!AH7 &lt;&gt; "",Сотрудники!AH7 &amp; CHAR(10) &amp; "(Дата последнего оповещения)","")</f>
        <v/>
      </c>
      <c r="AK2" s="40" t="str">
        <f>IF(Сотрудники!AI7 &lt;&gt; "",Сотрудники!AI7 &amp; CHAR(10) &amp; "(Дата последнего оповещения)","")</f>
        <v/>
      </c>
      <c r="AL2" s="40" t="str">
        <f>IF(Сотрудники!AJ7 &lt;&gt; "",Сотрудники!AJ7 &amp; CHAR(10) &amp; "(Дата последнего оповещения)","")</f>
        <v/>
      </c>
      <c r="AM2" s="40" t="str">
        <f>IF(Сотрудники!AK7 &lt;&gt; "",Сотрудники!AK7 &amp; CHAR(10) &amp; "(Дата последнего оповещения)","")</f>
        <v/>
      </c>
      <c r="AN2" s="40" t="str">
        <f>IF(Сотрудники!AL7 &lt;&gt; "",Сотрудники!AL7 &amp; CHAR(10) &amp; "(Дата последнего оповещения)","")</f>
        <v/>
      </c>
      <c r="AO2" s="40" t="str">
        <f>IF(Сотрудники!AM7 &lt;&gt; "",Сотрудники!AM7 &amp; CHAR(10) &amp; "(Дата последнего оповещения)","")</f>
        <v/>
      </c>
      <c r="AP2" s="40" t="str">
        <f>IF(Сотрудники!AN7 &lt;&gt; "",Сотрудники!AN7 &amp; CHAR(10) &amp; "(Дата последнего оповещения)","")</f>
        <v/>
      </c>
      <c r="AQ2" s="40" t="str">
        <f>IF(Сотрудники!AO7 &lt;&gt; "",Сотрудники!AO7 &amp; CHAR(10) &amp; "(Дата последнего оповещения)","")</f>
        <v/>
      </c>
      <c r="AR2" s="40" t="str">
        <f>IF(Сотрудники!AP7 &lt;&gt; "",Сотрудники!AP7 &amp; CHAR(10) &amp; "(Дата последнего оповещения)","")</f>
        <v/>
      </c>
      <c r="AS2" s="40" t="str">
        <f>IF(Сотрудники!AQ7 &lt;&gt; "",Сотрудники!AQ7 &amp; CHAR(10) &amp; "(Дата последнего оповещения)","")</f>
        <v/>
      </c>
      <c r="AT2" s="40" t="str">
        <f>IF(Сотрудники!AR7 &lt;&gt; "",Сотрудники!AR7 &amp; CHAR(10) &amp; "(Дата последнего оповещения)","")</f>
        <v/>
      </c>
      <c r="AU2" s="40" t="str">
        <f>IF(Сотрудники!AS7 &lt;&gt; "",Сотрудники!AS7 &amp; CHAR(10) &amp; "(Дата последнего оповещения)","")</f>
        <v/>
      </c>
      <c r="AV2" s="40" t="str">
        <f>IF(Сотрудники!AT7 &lt;&gt; "",Сотрудники!AT7 &amp; CHAR(10) &amp; "(Дата последнего оповещения)","")</f>
        <v/>
      </c>
      <c r="AW2" s="40" t="str">
        <f>IF(Сотрудники!AU7 &lt;&gt; "",Сотрудники!AU7 &amp; CHAR(10) &amp; "(Дата последнего оповещения)","")</f>
        <v/>
      </c>
      <c r="AX2" s="40" t="str">
        <f>IF(Сотрудники!AV7 &lt;&gt; "",Сотрудники!AV7 &amp; CHAR(10) &amp; "(Дата последнего оповещения)","")</f>
        <v/>
      </c>
      <c r="AY2" s="40" t="str">
        <f>IF(Сотрудники!AW7 &lt;&gt; "",Сотрудники!AW7 &amp; CHAR(10) &amp; "(Дата последнего оповещения)","")</f>
        <v/>
      </c>
      <c r="AZ2" s="40" t="str">
        <f>IF(Сотрудники!AX7 &lt;&gt; "",Сотрудники!AX7 &amp; CHAR(10) &amp; "(Дата последнего оповещения)","")</f>
        <v/>
      </c>
      <c r="BA2" s="40" t="str">
        <f>IF(Сотрудники!AY7 &lt;&gt; "",Сотрудники!AY7 &amp; CHAR(10) &amp; "(Дата последнего оповещения)","")</f>
        <v/>
      </c>
      <c r="BB2" s="40" t="str">
        <f>IF(Сотрудники!AZ7 &lt;&gt; "",Сотрудники!AZ7 &amp; CHAR(10) &amp; "(Дата последнего оповещения)","")</f>
        <v/>
      </c>
      <c r="BC2" s="40" t="str">
        <f>IF(Сотрудники!BA7 &lt;&gt; "",Сотрудники!BA7 &amp; CHAR(10) &amp; "(Дата последнего оповещения)","")</f>
        <v/>
      </c>
      <c r="BD2" s="40" t="str">
        <f>IF(Сотрудники!BB7 &lt;&gt; "",Сотрудники!BB7 &amp; CHAR(10) &amp; "(Дата последнего оповещения)","")</f>
        <v/>
      </c>
      <c r="BE2" s="40" t="str">
        <f>IF(Сотрудники!BC7 &lt;&gt; "",Сотрудники!BC7 &amp; CHAR(10) &amp; "(Дата последнего оповещения)","")</f>
        <v/>
      </c>
      <c r="BF2" s="40" t="str">
        <f>IF(Сотрудники!BD7 &lt;&gt; "",Сотрудники!BD7 &amp; CHAR(10) &amp; "(Дата последнего оповещения)","")</f>
        <v/>
      </c>
      <c r="BG2" s="40" t="str">
        <f>IF(Сотрудники!BE7 &lt;&gt; "",Сотрудники!BE7 &amp; CHAR(10) &amp; "(Дата последнего оповещения)","")</f>
        <v/>
      </c>
      <c r="BH2" s="40" t="str">
        <f>IF(Сотрудники!BF7 &lt;&gt; "",Сотрудники!BF7 &amp; CHAR(10) &amp; "(Дата последнего оповещения)","")</f>
        <v/>
      </c>
      <c r="BI2" s="40" t="str">
        <f>IF(Сотрудники!BG7 &lt;&gt; "",Сотрудники!BG7 &amp; CHAR(10) &amp; "(Дата последнего оповещения)","")</f>
        <v/>
      </c>
      <c r="BJ2" s="40" t="str">
        <f>IF(Сотрудники!BH7 &lt;&gt; "",Сотрудники!BH7 &amp; CHAR(10) &amp; "(Дата последнего оповещения)","")</f>
        <v/>
      </c>
      <c r="BK2" s="40" t="str">
        <f>IF(Сотрудники!BI7 &lt;&gt; "",Сотрудники!BI7 &amp; CHAR(10) &amp; "(Дата последнего оповещения)","")</f>
        <v/>
      </c>
      <c r="BL2" s="40" t="str">
        <f>IF(Сотрудники!BJ7 &lt;&gt; "",Сотрудники!BJ7 &amp; CHAR(10) &amp; "(Дата последнего оповещения)","")</f>
        <v/>
      </c>
      <c r="BM2" s="40" t="str">
        <f>IF(Сотрудники!BK7 &lt;&gt; "",Сотрудники!BK7 &amp; CHAR(10) &amp; "(Дата последнего оповещения)","")</f>
        <v/>
      </c>
      <c r="BN2" s="40" t="str">
        <f>IF(Сотрудники!BL7 &lt;&gt; "",Сотрудники!BL7 &amp; CHAR(10) &amp; "(Дата последнего оповещения)","")</f>
        <v/>
      </c>
      <c r="BO2" s="40" t="str">
        <f>IF(Сотрудники!BM7 &lt;&gt; "",Сотрудники!BM7 &amp; CHAR(10) &amp; "(Дата последнего оповещения)","")</f>
        <v/>
      </c>
      <c r="BP2" s="40" t="str">
        <f>IF(Сотрудники!BN7 &lt;&gt; "",Сотрудники!BN7 &amp; CHAR(10) &amp; "(Дата последнего оповещения)","")</f>
        <v/>
      </c>
      <c r="BQ2" s="40" t="str">
        <f>IF(Сотрудники!BO7 &lt;&gt; "",Сотрудники!BO7 &amp; CHAR(10) &amp; "(Дата последнего оповещения)","")</f>
        <v/>
      </c>
      <c r="BR2" s="40" t="str">
        <f>IF(Сотрудники!BP7 &lt;&gt; "",Сотрудники!BP7 &amp; CHAR(10) &amp; "(Дата последнего оповещения)","")</f>
        <v/>
      </c>
      <c r="BS2" s="40" t="str">
        <f>IF(Сотрудники!BQ7 &lt;&gt; "",Сотрудники!BQ7 &amp; CHAR(10) &amp; "(Дата последнего оповещения)","")</f>
        <v/>
      </c>
      <c r="BT2" s="40" t="str">
        <f>IF(Сотрудники!BR7 &lt;&gt; "",Сотрудники!BR7 &amp; CHAR(10) &amp; "(Дата последнего оповещения)","")</f>
        <v/>
      </c>
      <c r="BU2" s="40" t="str">
        <f>IF(Сотрудники!BS7 &lt;&gt; "",Сотрудники!BS7 &amp; CHAR(10) &amp; "(Дата последнего оповещения)","")</f>
        <v/>
      </c>
      <c r="BV2" s="40" t="str">
        <f>IF(Сотрудники!BT7 &lt;&gt; "",Сотрудники!BT7 &amp; CHAR(10) &amp; "(Дата последнего оповещения)","")</f>
        <v/>
      </c>
      <c r="BW2" s="40" t="str">
        <f>IF(Сотрудники!BU7 &lt;&gt; "",Сотрудники!BU7 &amp; CHAR(10) &amp; "(Дата последнего оповещения)","")</f>
        <v/>
      </c>
      <c r="BX2" s="40" t="str">
        <f>IF(Сотрудники!BV7 &lt;&gt; "",Сотрудники!BV7,"")</f>
        <v/>
      </c>
      <c r="BY2" s="40" t="str">
        <f>IF(Сотрудники!BW7 &lt;&gt; "",Сотрудники!BW7,"")</f>
        <v/>
      </c>
      <c r="BZ2" s="40" t="str">
        <f>IF(Сотрудники!BX7 &lt;&gt; "",Сотрудники!BX7,"")</f>
        <v/>
      </c>
      <c r="CA2" s="40" t="str">
        <f>IF(Сотрудники!BY7 &lt;&gt; "",Сотрудники!BY7,"")</f>
        <v/>
      </c>
      <c r="CB2" s="40" t="str">
        <f>IF(Сотрудники!BZ7 &lt;&gt; "",Сотрудники!BZ7,"")</f>
        <v/>
      </c>
      <c r="CC2" s="40" t="str">
        <f>IF(Сотрудники!CA7 &lt;&gt; "",Сотрудники!CA7,"")</f>
        <v/>
      </c>
      <c r="CD2" s="40" t="str">
        <f>IF(Сотрудники!CB7 &lt;&gt; "",Сотрудники!CB7,"")</f>
        <v/>
      </c>
      <c r="CE2" s="40" t="str">
        <f>IF(Сотрудники!CC7 &lt;&gt; "",Сотрудники!CC7,"")</f>
        <v/>
      </c>
    </row>
    <row r="3" spans="1:83" x14ac:dyDescent="0.25">
      <c r="A3" s="3">
        <f>IF(B3&lt;&gt; "",ROW(B3) - 2,"")</f>
        <v>1</v>
      </c>
      <c r="B3" s="55" t="s">
        <v>113</v>
      </c>
      <c r="C3" s="55" t="s">
        <v>114</v>
      </c>
      <c r="E3" s="55">
        <v>77119</v>
      </c>
      <c r="F3" s="43">
        <v>23</v>
      </c>
      <c r="G3" s="2" t="s">
        <v>17</v>
      </c>
      <c r="H3" s="41"/>
      <c r="I3" s="41"/>
      <c r="J3" s="41"/>
      <c r="K3" s="41"/>
      <c r="L3" s="41"/>
      <c r="M3" s="41"/>
      <c r="N3" s="41"/>
    </row>
    <row r="4" spans="1:83" x14ac:dyDescent="0.25">
      <c r="A4" s="3">
        <f t="shared" ref="A4:A42" si="0">IF(B4&lt;&gt; "",ROW(B4) - 2,"")</f>
        <v>2</v>
      </c>
      <c r="B4" s="54" t="s">
        <v>92</v>
      </c>
      <c r="C4" s="53" t="s">
        <v>93</v>
      </c>
      <c r="E4" s="14">
        <v>6907</v>
      </c>
      <c r="F4" s="2">
        <v>16</v>
      </c>
      <c r="G4" s="2" t="s">
        <v>103</v>
      </c>
      <c r="H4" s="41"/>
      <c r="I4" s="41"/>
      <c r="J4" s="41"/>
      <c r="K4" s="41"/>
      <c r="L4" s="41"/>
      <c r="M4" s="41"/>
      <c r="N4" s="41"/>
    </row>
    <row r="5" spans="1:83" x14ac:dyDescent="0.25">
      <c r="A5" s="3">
        <f>IF(B5&lt;&gt; "",ROW(B5) - 2,"")</f>
        <v>3</v>
      </c>
      <c r="B5" s="52" t="s">
        <v>101</v>
      </c>
      <c r="C5" s="53" t="s">
        <v>100</v>
      </c>
      <c r="E5" s="14">
        <v>6996</v>
      </c>
      <c r="G5" s="2" t="s">
        <v>28</v>
      </c>
      <c r="H5" s="41"/>
      <c r="I5" s="41"/>
      <c r="J5" s="41"/>
      <c r="K5" s="41"/>
      <c r="L5" s="41"/>
      <c r="M5" s="41"/>
      <c r="N5" s="41"/>
    </row>
    <row r="6" spans="1:83" x14ac:dyDescent="0.25">
      <c r="A6" s="3">
        <f t="shared" si="0"/>
        <v>4</v>
      </c>
      <c r="B6" s="2" t="s">
        <v>111</v>
      </c>
      <c r="C6" s="2" t="s">
        <v>112</v>
      </c>
      <c r="E6" s="2">
        <v>6956</v>
      </c>
      <c r="G6" s="2" t="s">
        <v>28</v>
      </c>
      <c r="H6" s="41"/>
      <c r="I6" s="41"/>
      <c r="J6" s="41"/>
      <c r="K6" s="41"/>
      <c r="L6" s="41"/>
      <c r="M6" s="41"/>
      <c r="N6" s="41"/>
    </row>
    <row r="7" spans="1:83" x14ac:dyDescent="0.25">
      <c r="A7" s="3" t="str">
        <f t="shared" si="0"/>
        <v/>
      </c>
      <c r="H7" s="41"/>
      <c r="I7" s="41"/>
      <c r="J7" s="41"/>
      <c r="K7" s="41"/>
      <c r="L7" s="41"/>
      <c r="M7" s="41"/>
      <c r="N7" s="41"/>
    </row>
    <row r="8" spans="1:83" x14ac:dyDescent="0.25">
      <c r="A8" s="3" t="str">
        <f t="shared" si="0"/>
        <v/>
      </c>
      <c r="H8" s="41"/>
      <c r="I8" s="41"/>
      <c r="J8" s="41"/>
      <c r="K8" s="41"/>
      <c r="L8" s="41"/>
      <c r="M8" s="41"/>
      <c r="N8" s="41"/>
    </row>
    <row r="9" spans="1:83" x14ac:dyDescent="0.25">
      <c r="A9" s="3" t="str">
        <f t="shared" si="0"/>
        <v/>
      </c>
      <c r="H9" s="41"/>
      <c r="I9" s="41"/>
      <c r="J9" s="41"/>
      <c r="K9" s="41"/>
      <c r="L9" s="41"/>
      <c r="M9" s="41"/>
      <c r="N9" s="41"/>
    </row>
    <row r="10" spans="1:83" x14ac:dyDescent="0.25">
      <c r="A10" s="3" t="str">
        <f t="shared" si="0"/>
        <v/>
      </c>
      <c r="H10" s="41"/>
      <c r="I10" s="41"/>
      <c r="J10" s="41"/>
      <c r="K10" s="41"/>
      <c r="L10" s="41"/>
      <c r="M10" s="41"/>
      <c r="N10" s="41"/>
    </row>
    <row r="11" spans="1:83" x14ac:dyDescent="0.25">
      <c r="A11" s="3" t="str">
        <f t="shared" si="0"/>
        <v/>
      </c>
    </row>
    <row r="12" spans="1:83" x14ac:dyDescent="0.25">
      <c r="A12" s="3" t="str">
        <f t="shared" si="0"/>
        <v/>
      </c>
    </row>
    <row r="13" spans="1:83" x14ac:dyDescent="0.25">
      <c r="A13" s="3" t="str">
        <f t="shared" si="0"/>
        <v/>
      </c>
    </row>
    <row r="14" spans="1:83" x14ac:dyDescent="0.25">
      <c r="A14" s="3" t="str">
        <f t="shared" si="0"/>
        <v/>
      </c>
    </row>
    <row r="15" spans="1:83" x14ac:dyDescent="0.25">
      <c r="A15" s="3" t="str">
        <f t="shared" si="0"/>
        <v/>
      </c>
    </row>
    <row r="16" spans="1:83" x14ac:dyDescent="0.25">
      <c r="A16" s="3" t="str">
        <f t="shared" si="0"/>
        <v/>
      </c>
    </row>
    <row r="17" spans="1:1" x14ac:dyDescent="0.25">
      <c r="A17" s="3" t="str">
        <f t="shared" si="0"/>
        <v/>
      </c>
    </row>
    <row r="18" spans="1:1" x14ac:dyDescent="0.25">
      <c r="A18" s="3" t="str">
        <f t="shared" si="0"/>
        <v/>
      </c>
    </row>
    <row r="19" spans="1:1" x14ac:dyDescent="0.25">
      <c r="A19" s="3" t="str">
        <f t="shared" si="0"/>
        <v/>
      </c>
    </row>
    <row r="20" spans="1:1" x14ac:dyDescent="0.25">
      <c r="A20" s="3" t="str">
        <f t="shared" si="0"/>
        <v/>
      </c>
    </row>
    <row r="21" spans="1:1" x14ac:dyDescent="0.25">
      <c r="A21" s="3" t="str">
        <f t="shared" si="0"/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</sheetData>
  <protectedRanges>
    <protectedRange sqref="B3:G1048576" name="Диапазон1"/>
  </protectedRanges>
  <dataValidations count="2">
    <dataValidation type="list" allowBlank="1" showInputMessage="1" showErrorMessage="1" sqref="G2184:G1048576">
      <formula1>"Начальник отдела,Ответственный"</formula1>
    </dataValidation>
    <dataValidation type="list" allowBlank="1" showInputMessage="1" showErrorMessage="1" sqref="G3:G2183">
      <formula1>"Не определено,Начальник отдела, Зам. начальника отдела,Ответственный,"</formula1>
    </dataValidation>
  </dataValidations>
  <hyperlinks>
    <hyperlink ref="C4" r:id="rId1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FF00"/>
  </sheetPr>
  <dimension ref="A1:NT1697"/>
  <sheetViews>
    <sheetView workbookViewId="0">
      <selection activeCell="D19" sqref="D19"/>
    </sheetView>
  </sheetViews>
  <sheetFormatPr defaultRowHeight="15" x14ac:dyDescent="0.25"/>
  <cols>
    <col min="1" max="1" width="24.5703125" style="4" customWidth="1"/>
    <col min="2" max="2" width="38.42578125" customWidth="1"/>
    <col min="3" max="118" width="37.7109375" customWidth="1"/>
  </cols>
  <sheetData>
    <row r="1" spans="1:384" s="28" customFormat="1" ht="42.75" customHeight="1" x14ac:dyDescent="0.25">
      <c r="A1" s="27" t="s">
        <v>0</v>
      </c>
      <c r="B1" s="27" t="s">
        <v>1</v>
      </c>
      <c r="C1" s="33" t="str">
        <f>IF(Сотрудники!H7 &lt;&gt; "",Сотрудники!H7 &amp; CHAR(10) &amp; "(Дата последнего оповещения)","")</f>
        <v>Пожарная безопасность (пол года)
(Дата последнего оповещения)</v>
      </c>
      <c r="D1" s="33" t="str">
        <f>IF(Сотрудники!I7 &lt;&gt; "",Сотрудники!I7 &amp; CHAR(10) &amp; "(Дата последнего оповещения)","")</f>
        <v>Охрана труда (год)
(Дата последнего оповещения)</v>
      </c>
      <c r="E1" s="33" t="str">
        <f>IF(Сотрудники!J7 &lt;&gt; "",Сотрудники!J7 &amp; CHAR(10) &amp; "(Дата последнего оповещения)","")</f>
        <v>Электробезопасность (3 мес)
(Дата последнего оповещения)</v>
      </c>
      <c r="F1" s="33" t="str">
        <f>IF(Сотрудники!K7 &lt;&gt; "",Сотрудники!K7 &amp; CHAR(10) &amp; "(Дата последнего оповещения)","")</f>
        <v/>
      </c>
      <c r="G1" s="33" t="str">
        <f>IF(Сотрудники!L7 &lt;&gt; "",Сотрудники!L7 &amp; CHAR(10) &amp; "(Дата последнего оповещения)","")</f>
        <v/>
      </c>
      <c r="H1" s="33" t="str">
        <f>IF(Сотрудники!M7 &lt;&gt; "",Сотрудники!M7 &amp; CHAR(10) &amp; "(Дата последнего оповещения)","")</f>
        <v/>
      </c>
      <c r="I1" s="33" t="str">
        <f>IF(Сотрудники!N7 &lt;&gt; "",Сотрудники!N7 &amp; CHAR(10) &amp; "(Дата последнего оповещения)","")</f>
        <v/>
      </c>
      <c r="J1" s="33" t="str">
        <f>IF(Сотрудники!O7 &lt;&gt; "",Сотрудники!O7 &amp; CHAR(10) &amp; "(Дата последнего оповещения)","")</f>
        <v/>
      </c>
      <c r="K1" s="33" t="str">
        <f>IF(Сотрудники!P7 &lt;&gt; "",Сотрудники!P7 &amp; CHAR(10) &amp; "(Дата последнего оповещения)","")</f>
        <v/>
      </c>
      <c r="L1" s="33" t="str">
        <f>IF(Сотрудники!Q7 &lt;&gt; "",Сотрудники!Q7 &amp; CHAR(10) &amp; "(Дата последнего оповещения)","")</f>
        <v/>
      </c>
      <c r="M1" s="33" t="str">
        <f>IF(Сотрудники!R7 &lt;&gt; "",Сотрудники!R7 &amp; CHAR(10) &amp; "(Дата последнего оповещения)","")</f>
        <v/>
      </c>
      <c r="N1" s="33" t="str">
        <f>IF(Сотрудники!S7 &lt;&gt; "",Сотрудники!S7 &amp; CHAR(10) &amp; "(Дата последнего оповещения)","")</f>
        <v/>
      </c>
      <c r="O1" s="33" t="str">
        <f>IF(Сотрудники!T7 &lt;&gt; "",Сотрудники!T7 &amp; CHAR(10) &amp; "(Дата последнего оповещения)","")</f>
        <v/>
      </c>
      <c r="P1" s="33" t="str">
        <f>IF(Сотрудники!U7 &lt;&gt; "",Сотрудники!U7 &amp; CHAR(10) &amp; "(Дата последнего оповещения)","")</f>
        <v/>
      </c>
      <c r="Q1" s="33" t="str">
        <f>IF(Сотрудники!V7 &lt;&gt; "",Сотрудники!V7 &amp; CHAR(10) &amp; "(Дата последнего оповещения)","")</f>
        <v/>
      </c>
      <c r="R1" s="33" t="str">
        <f>IF(Сотрудники!W7 &lt;&gt; "",Сотрудники!W7 &amp; CHAR(10) &amp; "(Дата последнего оповещения)","")</f>
        <v/>
      </c>
      <c r="S1" s="33" t="str">
        <f>IF(Сотрудники!V7 &lt;&gt; "",Сотрудники!V7 &amp; CHAR(10) &amp; "(Дата последнего оповещения)","")</f>
        <v/>
      </c>
      <c r="T1" s="33" t="str">
        <f>IF(Сотрудники!W7 &lt;&gt; "",Сотрудники!W7 &amp; CHAR(10) &amp; "(Дата последнего оповещения)","")</f>
        <v/>
      </c>
      <c r="U1" s="33" t="str">
        <f>IF(Сотрудники!X7 &lt;&gt; "",Сотрудники!X7 &amp; CHAR(10) &amp; "(Дата последнего оповещения)","")</f>
        <v/>
      </c>
      <c r="V1" s="33" t="str">
        <f>IF(Сотрудники!Y7 &lt;&gt; "",Сотрудники!Y7 &amp; CHAR(10) &amp; "(Дата последнего оповещения)","")</f>
        <v/>
      </c>
      <c r="W1" s="33" t="str">
        <f>IF(Сотрудники!Z7 &lt;&gt; "",Сотрудники!Z7 &amp; CHAR(10) &amp; "(Дата последнего оповещения)","")</f>
        <v/>
      </c>
      <c r="X1" s="33" t="str">
        <f>IF(Сотрудники!AA7 &lt;&gt; "",Сотрудники!AA7 &amp; CHAR(10) &amp; "(Дата последнего оповещения)","")</f>
        <v/>
      </c>
      <c r="Y1" s="33" t="str">
        <f>IF(Сотрудники!AB7 &lt;&gt; "",Сотрудники!AB7 &amp; CHAR(10) &amp; "(Дата последнего оповещения)","")</f>
        <v/>
      </c>
      <c r="Z1" s="33" t="str">
        <f>IF(Сотрудники!AC7 &lt;&gt; "",Сотрудники!AC7 &amp; CHAR(10) &amp; "(Дата последнего оповещения)","")</f>
        <v/>
      </c>
      <c r="AA1" s="33" t="str">
        <f>IF(Сотрудники!AD7 &lt;&gt; "",Сотрудники!AD7 &amp; CHAR(10) &amp; "(Дата последнего оповещения)","")</f>
        <v/>
      </c>
      <c r="AB1" s="33" t="str">
        <f>IF(Сотрудники!AE7 &lt;&gt; "",Сотрудники!AE7 &amp; CHAR(10) &amp; "(Дата последнего оповещения)","")</f>
        <v/>
      </c>
      <c r="AC1" s="33" t="str">
        <f>IF(Сотрудники!AF7 &lt;&gt; "",Сотрудники!AF7 &amp; CHAR(10) &amp; "(Дата последнего оповещения)","")</f>
        <v/>
      </c>
      <c r="AD1" s="33" t="str">
        <f>IF(Сотрудники!AG7 &lt;&gt; "",Сотрудники!AG7 &amp; CHAR(10) &amp; "(Дата последнего оповещения)","")</f>
        <v/>
      </c>
      <c r="AE1" s="33" t="str">
        <f>IF(Сотрудники!AH7 &lt;&gt; "",Сотрудники!AH7 &amp; CHAR(10) &amp; "(Дата последнего оповещения)","")</f>
        <v/>
      </c>
      <c r="AF1" s="33" t="str">
        <f>IF(Сотрудники!AI7 &lt;&gt; "",Сотрудники!AI7 &amp; CHAR(10) &amp; "(Дата последнего оповещения)","")</f>
        <v/>
      </c>
      <c r="AG1" s="33" t="str">
        <f>IF(Сотрудники!AJ7 &lt;&gt; "",Сотрудники!AJ7 &amp; CHAR(10) &amp; "(Дата последнего оповещения)","")</f>
        <v/>
      </c>
      <c r="AH1" s="33" t="str">
        <f>IF(Сотрудники!AK7 &lt;&gt; "",Сотрудники!AK7 &amp; CHAR(10) &amp; "(Дата последнего оповещения)","")</f>
        <v/>
      </c>
      <c r="AI1" s="33" t="str">
        <f>IF(Сотрудники!AL7 &lt;&gt; "",Сотрудники!AL7 &amp; CHAR(10) &amp; "(Дата последнего оповещения)","")</f>
        <v/>
      </c>
      <c r="AJ1" s="33" t="str">
        <f>IF(Сотрудники!AM7 &lt;&gt; "",Сотрудники!AM7 &amp; CHAR(10) &amp; "(Дата последнего оповещения)","")</f>
        <v/>
      </c>
      <c r="AK1" s="33" t="str">
        <f>IF(Сотрудники!AN7 &lt;&gt; "",Сотрудники!AN7 &amp; CHAR(10) &amp; "(Дата последнего оповещения)","")</f>
        <v/>
      </c>
      <c r="AL1" s="33" t="str">
        <f>IF(Сотрудники!AO7 &lt;&gt; "",Сотрудники!AO7 &amp; CHAR(10) &amp; "(Дата последнего оповещения)","")</f>
        <v/>
      </c>
      <c r="AM1" s="33" t="str">
        <f>IF(Сотрудники!AP7 &lt;&gt; "",Сотрудники!AP7 &amp; CHAR(10) &amp; "(Дата последнего оповещения)","")</f>
        <v/>
      </c>
      <c r="AN1" s="33" t="str">
        <f>IF(Сотрудники!AQ7 &lt;&gt; "",Сотрудники!AQ7 &amp; CHAR(10) &amp; "(Дата последнего оповещения)","")</f>
        <v/>
      </c>
      <c r="AO1" s="33" t="str">
        <f>IF(Сотрудники!AR7 &lt;&gt; "",Сотрудники!AR7 &amp; CHAR(10) &amp; "(Дата последнего оповещения)","")</f>
        <v/>
      </c>
      <c r="AP1" s="33" t="str">
        <f>IF(Сотрудники!AS7 &lt;&gt; "",Сотрудники!AS7 &amp; CHAR(10) &amp; "(Дата последнего оповещения)","")</f>
        <v/>
      </c>
      <c r="AQ1" s="33" t="str">
        <f>IF(Сотрудники!AT7 &lt;&gt; "",Сотрудники!AT7 &amp; CHAR(10) &amp; "(Дата последнего оповещения)","")</f>
        <v/>
      </c>
      <c r="AR1" s="33" t="str">
        <f>IF(Сотрудники!AU7 &lt;&gt; "",Сотрудники!AU7 &amp; CHAR(10) &amp; "(Дата последнего оповещения)","")</f>
        <v/>
      </c>
      <c r="AS1" s="33" t="str">
        <f>IF(Сотрудники!AV7 &lt;&gt; "",Сотрудники!AV7 &amp; CHAR(10) &amp; "(Дата последнего оповещения)","")</f>
        <v/>
      </c>
      <c r="AT1" s="33" t="str">
        <f>IF(Сотрудники!AW7 &lt;&gt; "",Сотрудники!AW7 &amp; CHAR(10) &amp; "(Дата последнего оповещения)","")</f>
        <v/>
      </c>
      <c r="AU1" s="33" t="str">
        <f>IF(Сотрудники!AX7 &lt;&gt; "",Сотрудники!AX7 &amp; CHAR(10) &amp; "(Дата последнего оповещения)","")</f>
        <v/>
      </c>
      <c r="AV1" s="33" t="str">
        <f>IF(Сотрудники!AY7 &lt;&gt; "",Сотрудники!AY7 &amp; CHAR(10) &amp; "(Дата последнего оповещения)","")</f>
        <v/>
      </c>
      <c r="AW1" s="33" t="str">
        <f>IF(Сотрудники!AZ7 &lt;&gt; "",Сотрудники!AZ7 &amp; CHAR(10) &amp; "(Дата последнего оповещения)","")</f>
        <v/>
      </c>
      <c r="AX1" s="33" t="str">
        <f>IF(Сотрудники!BA7 &lt;&gt; "",Сотрудники!BA7 &amp; CHAR(10) &amp; "(Дата последнего оповещения)","")</f>
        <v/>
      </c>
      <c r="AY1" s="33" t="str">
        <f>IF(Сотрудники!BB7 &lt;&gt; "",Сотрудники!BB7 &amp; CHAR(10) &amp; "(Дата последнего оповещения)","")</f>
        <v/>
      </c>
      <c r="AZ1" s="33" t="str">
        <f>IF(Сотрудники!BC7 &lt;&gt; "",Сотрудники!BC7 &amp; CHAR(10) &amp; "(Дата последнего оповещения)","")</f>
        <v/>
      </c>
      <c r="BA1" s="33" t="str">
        <f>IF(Сотрудники!BD7 &lt;&gt; "",Сотрудники!BD7 &amp; CHAR(10) &amp; "(Дата последнего оповещения)","")</f>
        <v/>
      </c>
      <c r="BB1" s="33" t="str">
        <f>IF(Сотрудники!BE7 &lt;&gt; "",Сотрудники!BE7 &amp; CHAR(10) &amp; "(Дата последнего оповещения)","")</f>
        <v/>
      </c>
      <c r="BC1" s="33" t="str">
        <f>IF(Сотрудники!BF7 &lt;&gt; "",Сотрудники!BF7 &amp; CHAR(10) &amp; "(Дата последнего оповещения)","")</f>
        <v/>
      </c>
      <c r="BD1" s="33" t="str">
        <f>IF(Сотрудники!BG7 &lt;&gt; "",Сотрудники!BG7 &amp; CHAR(10) &amp; "(Дата последнего оповещения)","")</f>
        <v/>
      </c>
      <c r="BE1" s="33" t="str">
        <f>IF(Сотрудники!BH7 &lt;&gt; "",Сотрудники!BH7 &amp; CHAR(10) &amp; "(Дата последнего оповещения)","")</f>
        <v/>
      </c>
      <c r="BF1" s="33" t="str">
        <f>IF(Сотрудники!BI7 &lt;&gt; "",Сотрудники!BI7 &amp; CHAR(10) &amp; "(Дата последнего оповещения)","")</f>
        <v/>
      </c>
      <c r="BG1" s="33" t="str">
        <f>IF(Сотрудники!BJ7 &lt;&gt; "",Сотрудники!BJ7 &amp; CHAR(10) &amp; "(Дата последнего оповещения)","")</f>
        <v/>
      </c>
      <c r="BH1" s="33" t="str">
        <f>IF(Сотрудники!BK7 &lt;&gt; "",Сотрудники!BK7 &amp; CHAR(10) &amp; "(Дата последнего оповещения)","")</f>
        <v/>
      </c>
      <c r="BI1" s="33" t="str">
        <f>IF(Сотрудники!BL7 &lt;&gt; "",Сотрудники!BL7 &amp; CHAR(10) &amp; "(Дата последнего оповещения)","")</f>
        <v/>
      </c>
      <c r="BJ1" s="33" t="str">
        <f>IF(Сотрудники!BM7 &lt;&gt; "",Сотрудники!BM7 &amp; CHAR(10) &amp; "(Дата последнего оповещения)","")</f>
        <v/>
      </c>
      <c r="BK1" s="33" t="str">
        <f>IF(Сотрудники!BN7 &lt;&gt; "",Сотрудники!BN7 &amp; CHAR(10) &amp; "(Дата последнего оповещения)","")</f>
        <v/>
      </c>
      <c r="BL1" s="33" t="str">
        <f>IF(Сотрудники!BO7 &lt;&gt; "",Сотрудники!BO7 &amp; CHAR(10) &amp; "(Дата последнего оповещения)","")</f>
        <v/>
      </c>
      <c r="BM1" s="33" t="str">
        <f>IF(Сотрудники!BP7 &lt;&gt; "",Сотрудники!BP7 &amp; CHAR(10) &amp; "(Дата последнего оповещения)","")</f>
        <v/>
      </c>
      <c r="BN1" s="33" t="str">
        <f>IF(Сотрудники!BQ7 &lt;&gt; "",Сотрудники!BQ7 &amp; CHAR(10) &amp; "(Дата последнего оповещения)","")</f>
        <v/>
      </c>
      <c r="BO1" s="33" t="str">
        <f>IF(Сотрудники!BR7 &lt;&gt; "",Сотрудники!BR7 &amp; CHAR(10) &amp; "(Дата последнего оповещения)","")</f>
        <v/>
      </c>
      <c r="BP1" s="33" t="str">
        <f>IF(Сотрудники!BS7 &lt;&gt; "",Сотрудники!BS7 &amp; CHAR(10) &amp; "(Дата последнего оповещения)","")</f>
        <v/>
      </c>
      <c r="BQ1" s="33" t="str">
        <f>IF(Сотрудники!BT7 &lt;&gt; "",Сотрудники!BT7 &amp; CHAR(10) &amp; "(Дата последнего оповещения)","")</f>
        <v/>
      </c>
      <c r="BR1" s="33" t="str">
        <f>IF(Сотрудники!BU7 &lt;&gt; "",Сотрудники!BU7 &amp; CHAR(10) &amp; "(Дата последнего оповещения)","")</f>
        <v/>
      </c>
      <c r="BS1" s="33" t="str">
        <f>IF(Сотрудники!BV7 &lt;&gt; "",Сотрудники!BV7 &amp; CHAR(10) &amp; "(Дата последнего оповещения)","")</f>
        <v/>
      </c>
      <c r="BT1" s="33" t="str">
        <f>IF(Сотрудники!BW7 &lt;&gt; "",Сотрудники!BW7 &amp; CHAR(10) &amp; "(Дата последнего оповещения)","")</f>
        <v/>
      </c>
      <c r="BU1" s="33" t="str">
        <f>IF(Сотрудники!BX7 &lt;&gt; "",Сотрудники!BX7 &amp; CHAR(10) &amp; "(Дата последнего оповещения)","")</f>
        <v/>
      </c>
      <c r="BV1" s="33" t="str">
        <f>IF(Сотрудники!BY7 &lt;&gt; "",Сотрудники!BY7 &amp; CHAR(10) &amp; "(Дата последнего оповещения)","")</f>
        <v/>
      </c>
      <c r="BW1" s="33" t="str">
        <f>IF(Сотрудники!BZ7 &lt;&gt; "",Сотрудники!BZ7 &amp; CHAR(10) &amp; "(Дата последнего оповещения)","")</f>
        <v/>
      </c>
      <c r="BX1" s="33" t="str">
        <f>IF(Сотрудники!CA7 &lt;&gt; "",Сотрудники!CA7 &amp; CHAR(10) &amp; "(Дата последнего оповещения)","")</f>
        <v/>
      </c>
      <c r="BY1" s="33" t="str">
        <f>IF(Сотрудники!CB7 &lt;&gt; "",Сотрудники!CB7 &amp; CHAR(10) &amp; "(Дата последнего оповещения)","")</f>
        <v/>
      </c>
      <c r="BZ1" s="33" t="str">
        <f>IF(Сотрудники!CC7 &lt;&gt; "",Сотрудники!CC7 &amp; CHAR(10) &amp; "(Дата последнего оповещения)","")</f>
        <v/>
      </c>
      <c r="CA1" s="33" t="str">
        <f>IF(Сотрудники!CD7 &lt;&gt; "",Сотрудники!CD7 &amp; CHAR(10) &amp; "(Дата последнего оповещения)","")</f>
        <v/>
      </c>
      <c r="CB1" s="33" t="str">
        <f>IF(Сотрудники!CE7 &lt;&gt; "",Сотрудники!CE7 &amp; CHAR(10) &amp; "(Дата последнего оповещения)","")</f>
        <v/>
      </c>
      <c r="CC1" s="33" t="str">
        <f>IF(Сотрудники!CF7 &lt;&gt; "",Сотрудники!CF7 &amp; CHAR(10) &amp; "(Дата последнего оповещения)","")</f>
        <v/>
      </c>
      <c r="CD1" s="33" t="str">
        <f>IF(Сотрудники!CG7 &lt;&gt; "",Сотрудники!CG7 &amp; CHAR(10) &amp; "(Дата последнего оповещения)","")</f>
        <v/>
      </c>
      <c r="CE1" s="33" t="str">
        <f>IF(Сотрудники!CH7 &lt;&gt; "",Сотрудники!CH7 &amp; CHAR(10) &amp; "(Дата последнего оповещения)","")</f>
        <v/>
      </c>
      <c r="CF1" s="33" t="str">
        <f>IF(Сотрудники!CI7 &lt;&gt; "",Сотрудники!CI7 &amp; CHAR(10) &amp; "(Дата последнего оповещения)","")</f>
        <v/>
      </c>
      <c r="CG1" s="33" t="str">
        <f>IF(Сотрудники!CJ7 &lt;&gt; "",Сотрудники!CJ7 &amp; CHAR(10) &amp; "(Дата последнего оповещения)","")</f>
        <v/>
      </c>
      <c r="CH1" s="33" t="str">
        <f>IF(Сотрудники!CK7 &lt;&gt; "",Сотрудники!CK7 &amp; CHAR(10) &amp; "(Дата последнего оповещения)","")</f>
        <v/>
      </c>
      <c r="CI1" s="33" t="str">
        <f>IF(Сотрудники!CL7 &lt;&gt; "",Сотрудники!CL7 &amp; CHAR(10) &amp; "(Дата последнего оповещения)","")</f>
        <v/>
      </c>
      <c r="CJ1" s="33" t="str">
        <f>IF(Сотрудники!CM7 &lt;&gt; "",Сотрудники!CM7 &amp; CHAR(10) &amp; "(Дата последнего оповещения)","")</f>
        <v/>
      </c>
      <c r="CK1" s="33" t="str">
        <f>IF(Сотрудники!CN7 &lt;&gt; "",Сотрудники!CN7 &amp; CHAR(10) &amp; "(Дата последнего оповещения)","")</f>
        <v/>
      </c>
      <c r="CL1" s="33" t="str">
        <f>IF(Сотрудники!CO7 &lt;&gt; "",Сотрудники!CO7 &amp; CHAR(10) &amp; "(Дата последнего оповещения)","")</f>
        <v/>
      </c>
      <c r="CM1" s="33" t="str">
        <f>IF(Сотрудники!CP7 &lt;&gt; "",Сотрудники!CP7 &amp; CHAR(10) &amp; "(Дата последнего оповещения)","")</f>
        <v/>
      </c>
      <c r="CN1" s="33" t="str">
        <f>IF(Сотрудники!CQ7 &lt;&gt; "",Сотрудники!CQ7 &amp; CHAR(10) &amp; "(Дата последнего оповещения)","")</f>
        <v/>
      </c>
      <c r="CO1" s="33" t="str">
        <f>IF(Сотрудники!CR7 &lt;&gt; "",Сотрудники!CR7 &amp; CHAR(10) &amp; "(Дата последнего оповещения)","")</f>
        <v/>
      </c>
      <c r="CP1" s="33" t="str">
        <f>IF(Сотрудники!CS7 &lt;&gt; "",Сотрудники!CS7 &amp; CHAR(10) &amp; "(Дата последнего оповещения)","")</f>
        <v/>
      </c>
      <c r="CQ1" s="33" t="str">
        <f>IF(Сотрудники!CT7 &lt;&gt; "",Сотрудники!CT7 &amp; CHAR(10) &amp; "(Дата последнего оповещения)","")</f>
        <v/>
      </c>
      <c r="CR1" s="33" t="str">
        <f>IF(Сотрудники!CU7 &lt;&gt; "",Сотрудники!CU7 &amp; CHAR(10) &amp; "(Дата последнего оповещения)","")</f>
        <v/>
      </c>
      <c r="CS1" s="33" t="str">
        <f>IF(Сотрудники!CV7 &lt;&gt; "",Сотрудники!CV7 &amp; CHAR(10) &amp; "(Дата последнего оповещения)","")</f>
        <v/>
      </c>
      <c r="CT1" s="33" t="str">
        <f>IF(Сотрудники!CW7 &lt;&gt; "",Сотрудники!CW7 &amp; CHAR(10) &amp; "(Дата последнего оповещения)","")</f>
        <v/>
      </c>
      <c r="CU1" s="33" t="str">
        <f>IF(Сотрудники!CX7 &lt;&gt; "",Сотрудники!CX7 &amp; CHAR(10) &amp; "(Дата последнего оповещения)","")</f>
        <v/>
      </c>
      <c r="CV1" s="33" t="str">
        <f>IF(Сотрудники!CY7 &lt;&gt; "",Сотрудники!CY7 &amp; CHAR(10) &amp; "(Дата последнего оповещения)","")</f>
        <v/>
      </c>
      <c r="CW1" s="33" t="str">
        <f>IF(Сотрудники!CZ7 &lt;&gt; "",Сотрудники!CZ7 &amp; CHAR(10) &amp; "(Дата последнего оповещения)","")</f>
        <v/>
      </c>
      <c r="CX1" s="33" t="str">
        <f>IF(Сотрудники!DA7 &lt;&gt; "",Сотрудники!DA7 &amp; CHAR(10) &amp; "(Дата последнего оповещения)","")</f>
        <v/>
      </c>
      <c r="CY1" s="33" t="str">
        <f>IF(Сотрудники!DB7 &lt;&gt; "",Сотрудники!DB7 &amp; CHAR(10) &amp; "(Дата последнего оповещения)","")</f>
        <v/>
      </c>
      <c r="CZ1" s="33" t="str">
        <f>IF(Сотрудники!DC7 &lt;&gt; "",Сотрудники!DC7 &amp; CHAR(10) &amp; "(Дата последнего оповещения)","")</f>
        <v/>
      </c>
      <c r="DA1" s="33" t="str">
        <f>IF(Сотрудники!DD7 &lt;&gt; "",Сотрудники!DD7 &amp; CHAR(10) &amp; "(Дата последнего оповещения)","")</f>
        <v/>
      </c>
      <c r="DB1" s="33" t="str">
        <f>IF(Сотрудники!DE7 &lt;&gt; "",Сотрудники!DE7 &amp; CHAR(10) &amp; "(Дата последнего оповещения)","")</f>
        <v/>
      </c>
      <c r="DC1" s="33" t="str">
        <f>IF(Сотрудники!DF7 &lt;&gt; "",Сотрудники!DF7 &amp; CHAR(10) &amp; "(Дата последнего оповещения)","")</f>
        <v/>
      </c>
      <c r="DD1" s="33" t="str">
        <f>IF(Сотрудники!DG7 &lt;&gt; "",Сотрудники!DG7 &amp; CHAR(10) &amp; "(Дата последнего оповещения)","")</f>
        <v/>
      </c>
      <c r="DE1" s="33" t="str">
        <f>IF(Сотрудники!DH7 &lt;&gt; "",Сотрудники!DH7 &amp; CHAR(10) &amp; "(Дата последнего оповещения)","")</f>
        <v/>
      </c>
      <c r="DF1" s="33" t="str">
        <f>IF(Сотрудники!DI7 &lt;&gt; "",Сотрудники!DI7 &amp; CHAR(10) &amp; "(Дата последнего оповещения)","")</f>
        <v/>
      </c>
      <c r="DG1" s="33" t="str">
        <f>IF(Сотрудники!DJ7 &lt;&gt; "",Сотрудники!DJ7 &amp; CHAR(10) &amp; "(Дата последнего оповещения)","")</f>
        <v/>
      </c>
      <c r="DH1" s="33" t="str">
        <f>IF(Сотрудники!DK7 &lt;&gt; "",Сотрудники!DK7 &amp; CHAR(10) &amp; "(Дата последнего оповещения)","")</f>
        <v/>
      </c>
      <c r="DI1" s="33" t="str">
        <f>IF(Сотрудники!DL7 &lt;&gt; "",Сотрудники!DL7 &amp; CHAR(10) &amp; "(Дата последнего оповещения)","")</f>
        <v/>
      </c>
      <c r="DJ1" s="33" t="str">
        <f>IF(Сотрудники!DM7 &lt;&gt; "",Сотрудники!DM7 &amp; CHAR(10) &amp; "(Дата последнего оповещения)","")</f>
        <v/>
      </c>
      <c r="DK1" s="33" t="str">
        <f>IF(Сотрудники!DN7 &lt;&gt; "",Сотрудники!DN7 &amp; CHAR(10) &amp; "(Дата последнего оповещения)","")</f>
        <v/>
      </c>
      <c r="DL1" s="33" t="str">
        <f>IF(Сотрудники!DO7 &lt;&gt; "",Сотрудники!DO7 &amp; CHAR(10) &amp; "(Дата последнего оповещения)","")</f>
        <v/>
      </c>
      <c r="DM1" s="33" t="str">
        <f>IF(Сотрудники!DP7 &lt;&gt; "",Сотрудники!DP7 &amp; CHAR(10) &amp; "(Дата последнего оповещения)","")</f>
        <v/>
      </c>
      <c r="DN1" s="33" t="str">
        <f>IF(Сотрудники!DQ7 &lt;&gt; "",Сотрудники!DQ7 &amp; CHAR(10) &amp; "(Дата последнего оповещения)","")</f>
        <v/>
      </c>
      <c r="DO1" s="33" t="str">
        <f>IF(Сотрудники!DR7 &lt;&gt; "",Сотрудники!DR7 &amp; CHAR(10) &amp; "(Дата последнего оповещения)","")</f>
        <v/>
      </c>
      <c r="DP1" s="33" t="str">
        <f>IF(Сотрудники!DS7 &lt;&gt; "",Сотрудники!DS7 &amp; CHAR(10) &amp; "(Дата последнего оповещения)","")</f>
        <v/>
      </c>
      <c r="DQ1" s="33" t="str">
        <f>IF(Сотрудники!DT7 &lt;&gt; "",Сотрудники!DT7 &amp; CHAR(10) &amp; "(Дата последнего оповещения)","")</f>
        <v/>
      </c>
      <c r="DR1" s="33" t="str">
        <f>IF(Сотрудники!DU7 &lt;&gt; "",Сотрудники!DU7 &amp; CHAR(10) &amp; "(Дата последнего оповещения)","")</f>
        <v/>
      </c>
      <c r="DS1" s="33" t="str">
        <f>IF(Сотрудники!DV7 &lt;&gt; "",Сотрудники!DV7 &amp; CHAR(10) &amp; "(Дата последнего оповещения)","")</f>
        <v/>
      </c>
      <c r="DT1" s="33" t="str">
        <f>IF(Сотрудники!DW7 &lt;&gt; "",Сотрудники!DW7 &amp; CHAR(10) &amp; "(Дата последнего оповещения)","")</f>
        <v/>
      </c>
      <c r="DU1" s="33" t="str">
        <f>IF(Сотрудники!DX7 &lt;&gt; "",Сотрудники!DX7 &amp; CHAR(10) &amp; "(Дата последнего оповещения)","")</f>
        <v/>
      </c>
      <c r="DV1" s="33" t="str">
        <f>IF(Сотрудники!DY7 &lt;&gt; "",Сотрудники!DY7 &amp; CHAR(10) &amp; "(Дата последнего оповещения)","")</f>
        <v/>
      </c>
      <c r="DW1" s="33" t="str">
        <f>IF(Сотрудники!DZ7 &lt;&gt; "",Сотрудники!DZ7 &amp; CHAR(10) &amp; "(Дата последнего оповещения)","")</f>
        <v/>
      </c>
      <c r="DX1" s="33" t="str">
        <f>IF(Сотрудники!EA7 &lt;&gt; "",Сотрудники!EA7 &amp; CHAR(10) &amp; "(Дата последнего оповещения)","")</f>
        <v/>
      </c>
      <c r="DY1" s="33" t="str">
        <f>IF(Сотрудники!EB7 &lt;&gt; "",Сотрудники!EB7 &amp; CHAR(10) &amp; "(Дата последнего оповещения)","")</f>
        <v/>
      </c>
      <c r="DZ1" s="33" t="str">
        <f>IF(Сотрудники!EC7 &lt;&gt; "",Сотрудники!EC7 &amp; CHAR(10) &amp; "(Дата последнего оповещения)","")</f>
        <v/>
      </c>
      <c r="EA1" s="33" t="str">
        <f>IF(Сотрудники!ED7 &lt;&gt; "",Сотрудники!ED7 &amp; CHAR(10) &amp; "(Дата последнего оповещения)","")</f>
        <v/>
      </c>
      <c r="EB1" s="33" t="str">
        <f>IF(Сотрудники!EE7 &lt;&gt; "",Сотрудники!EE7 &amp; CHAR(10) &amp; "(Дата последнего оповещения)","")</f>
        <v/>
      </c>
      <c r="EC1" s="33" t="str">
        <f>IF(Сотрудники!EF7 &lt;&gt; "",Сотрудники!EF7 &amp; CHAR(10) &amp; "(Дата последнего оповещения)","")</f>
        <v/>
      </c>
      <c r="ED1" s="33" t="str">
        <f>IF(Сотрудники!EG7 &lt;&gt; "",Сотрудники!EG7 &amp; CHAR(10) &amp; "(Дата последнего оповещения)","")</f>
        <v/>
      </c>
      <c r="EE1" s="33" t="str">
        <f>IF(Сотрудники!EH7 &lt;&gt; "",Сотрудники!EH7 &amp; CHAR(10) &amp; "(Дата последнего оповещения)","")</f>
        <v/>
      </c>
      <c r="EF1" s="33" t="str">
        <f>IF(Сотрудники!EI7 &lt;&gt; "",Сотрудники!EI7 &amp; CHAR(10) &amp; "(Дата последнего оповещения)","")</f>
        <v/>
      </c>
      <c r="EG1" s="33" t="str">
        <f>IF(Сотрудники!EJ7 &lt;&gt; "",Сотрудники!EJ7 &amp; CHAR(10) &amp; "(Дата последнего оповещения)","")</f>
        <v/>
      </c>
      <c r="EH1" s="33" t="str">
        <f>IF(Сотрудники!EK7 &lt;&gt; "",Сотрудники!EK7 &amp; CHAR(10) &amp; "(Дата последнего оповещения)","")</f>
        <v/>
      </c>
      <c r="EI1" s="33" t="str">
        <f>IF(Сотрудники!EL7 &lt;&gt; "",Сотрудники!EL7 &amp; CHAR(10) &amp; "(Дата последнего оповещения)","")</f>
        <v/>
      </c>
      <c r="EJ1" s="33" t="str">
        <f>IF(Сотрудники!EM7 &lt;&gt; "",Сотрудники!EM7 &amp; CHAR(10) &amp; "(Дата последнего оповещения)","")</f>
        <v/>
      </c>
      <c r="EK1" s="33" t="str">
        <f>IF(Сотрудники!EN7 &lt;&gt; "",Сотрудники!EN7 &amp; CHAR(10) &amp; "(Дата последнего оповещения)","")</f>
        <v/>
      </c>
      <c r="EL1" s="33" t="str">
        <f>IF(Сотрудники!EO7 &lt;&gt; "",Сотрудники!EO7 &amp; CHAR(10) &amp; "(Дата последнего оповещения)","")</f>
        <v/>
      </c>
      <c r="EM1" s="33" t="str">
        <f>IF(Сотрудники!EP7 &lt;&gt; "",Сотрудники!EP7 &amp; CHAR(10) &amp; "(Дата последнего оповещения)","")</f>
        <v/>
      </c>
      <c r="EN1" s="33" t="str">
        <f>IF(Сотрудники!EQ7 &lt;&gt; "",Сотрудники!EQ7 &amp; CHAR(10) &amp; "(Дата последнего оповещения)","")</f>
        <v/>
      </c>
      <c r="EO1" s="33" t="str">
        <f>IF(Сотрудники!ER7 &lt;&gt; "",Сотрудники!ER7 &amp; CHAR(10) &amp; "(Дата последнего оповещения)","")</f>
        <v/>
      </c>
      <c r="EP1" s="33" t="str">
        <f>IF(Сотрудники!ES7 &lt;&gt; "",Сотрудники!ES7 &amp; CHAR(10) &amp; "(Дата последнего оповещения)","")</f>
        <v/>
      </c>
      <c r="EQ1" s="33" t="str">
        <f>IF(Сотрудники!ET7 &lt;&gt; "",Сотрудники!ET7 &amp; CHAR(10) &amp; "(Дата последнего оповещения)","")</f>
        <v/>
      </c>
      <c r="ER1" s="33" t="str">
        <f>IF(Сотрудники!EU7 &lt;&gt; "",Сотрудники!EU7 &amp; CHAR(10) &amp; "(Дата последнего оповещения)","")</f>
        <v/>
      </c>
      <c r="ES1" s="33" t="str">
        <f>IF(Сотрудники!EV7 &lt;&gt; "",Сотрудники!EV7 &amp; CHAR(10) &amp; "(Дата последнего оповещения)","")</f>
        <v/>
      </c>
      <c r="ET1" s="33" t="str">
        <f>IF(Сотрудники!EW7 &lt;&gt; "",Сотрудники!EW7 &amp; CHAR(10) &amp; "(Дата последнего оповещения)","")</f>
        <v/>
      </c>
      <c r="EU1" s="33" t="str">
        <f>IF(Сотрудники!EX7 &lt;&gt; "",Сотрудники!EX7 &amp; CHAR(10) &amp; "(Дата последнего оповещения)","")</f>
        <v/>
      </c>
      <c r="EV1" s="33" t="str">
        <f>IF(Сотрудники!EY7 &lt;&gt; "",Сотрудники!EY7 &amp; CHAR(10) &amp; "(Дата последнего оповещения)","")</f>
        <v/>
      </c>
      <c r="EW1" s="33" t="str">
        <f>IF(Сотрудники!EZ7 &lt;&gt; "",Сотрудники!EZ7 &amp; CHAR(10) &amp; "(Дата последнего оповещения)","")</f>
        <v/>
      </c>
      <c r="EX1" s="33" t="str">
        <f>IF(Сотрудники!FA7 &lt;&gt; "",Сотрудники!FA7 &amp; CHAR(10) &amp; "(Дата последнего оповещения)","")</f>
        <v/>
      </c>
      <c r="EY1" s="33" t="str">
        <f>IF(Сотрудники!FB7 &lt;&gt; "",Сотрудники!FB7 &amp; CHAR(10) &amp; "(Дата последнего оповещения)","")</f>
        <v/>
      </c>
      <c r="EZ1" s="33" t="str">
        <f>IF(Сотрудники!FC7 &lt;&gt; "",Сотрудники!FC7 &amp; CHAR(10) &amp; "(Дата последнего оповещения)","")</f>
        <v/>
      </c>
      <c r="FA1" s="33" t="str">
        <f>IF(Сотрудники!FD7 &lt;&gt; "",Сотрудники!FD7 &amp; CHAR(10) &amp; "(Дата последнего оповещения)","")</f>
        <v/>
      </c>
      <c r="FB1" s="33" t="str">
        <f>IF(Сотрудники!FE7 &lt;&gt; "",Сотрудники!FE7 &amp; CHAR(10) &amp; "(Дата последнего оповещения)","")</f>
        <v/>
      </c>
      <c r="FC1" s="28" t="str">
        <f>IF(Сотрудники!FF7 &lt;&gt; "",Сотрудники!FF7,"")</f>
        <v/>
      </c>
      <c r="FD1" s="28" t="str">
        <f>IF(Сотрудники!FG7 &lt;&gt; "",Сотрудники!FG7,"")</f>
        <v/>
      </c>
      <c r="FE1" s="28" t="str">
        <f>IF(Сотрудники!FH7 &lt;&gt; "",Сотрудники!FH7,"")</f>
        <v/>
      </c>
      <c r="FF1" s="28" t="str">
        <f>IF(Сотрудники!FI7 &lt;&gt; "",Сотрудники!FI7,"")</f>
        <v/>
      </c>
      <c r="FG1" s="28" t="str">
        <f>IF(Сотрудники!FJ7 &lt;&gt; "",Сотрудники!FJ7,"")</f>
        <v/>
      </c>
      <c r="FH1" s="28" t="str">
        <f>IF(Сотрудники!FK7 &lt;&gt; "",Сотрудники!FK7,"")</f>
        <v/>
      </c>
      <c r="FI1" s="28" t="str">
        <f>IF(Сотрудники!FL7 &lt;&gt; "",Сотрудники!FL7,"")</f>
        <v/>
      </c>
      <c r="FJ1" s="28" t="str">
        <f>IF(Сотрудники!FM7 &lt;&gt; "",Сотрудники!FM7,"")</f>
        <v/>
      </c>
      <c r="FK1" s="28" t="str">
        <f>IF(Сотрудники!FN7 &lt;&gt; "",Сотрудники!FN7,"")</f>
        <v/>
      </c>
      <c r="FL1" s="28" t="str">
        <f>IF(Сотрудники!FO7 &lt;&gt; "",Сотрудники!FO7,"")</f>
        <v/>
      </c>
      <c r="FM1" s="28" t="str">
        <f>IF(Сотрудники!FP7 &lt;&gt; "",Сотрудники!FP7,"")</f>
        <v/>
      </c>
      <c r="FN1" s="28" t="str">
        <f>IF(Сотрудники!FQ7 &lt;&gt; "",Сотрудники!FQ7,"")</f>
        <v/>
      </c>
      <c r="FO1" s="28" t="str">
        <f>IF(Сотрудники!FR7 &lt;&gt; "",Сотрудники!FR7,"")</f>
        <v/>
      </c>
      <c r="FP1" s="28" t="str">
        <f>IF(Сотрудники!FS7 &lt;&gt; "",Сотрудники!FS7,"")</f>
        <v/>
      </c>
      <c r="FQ1" s="28" t="str">
        <f>IF(Сотрудники!FT7 &lt;&gt; "",Сотрудники!FT7,"")</f>
        <v/>
      </c>
      <c r="FR1" s="28" t="str">
        <f>IF(Сотрудники!FU7 &lt;&gt; "",Сотрудники!FU7,"")</f>
        <v/>
      </c>
      <c r="FS1" s="28" t="str">
        <f>IF(Сотрудники!FV7 &lt;&gt; "",Сотрудники!FV7,"")</f>
        <v/>
      </c>
      <c r="FT1" s="28" t="str">
        <f>IF(Сотрудники!FW7 &lt;&gt; "",Сотрудники!FW7,"")</f>
        <v/>
      </c>
      <c r="FU1" s="28" t="str">
        <f>IF(Сотрудники!FX7 &lt;&gt; "",Сотрудники!FX7,"")</f>
        <v/>
      </c>
      <c r="FV1" s="28" t="str">
        <f>IF(Сотрудники!FY7 &lt;&gt; "",Сотрудники!FY7,"")</f>
        <v/>
      </c>
      <c r="FW1" s="28" t="str">
        <f>IF(Сотрудники!FZ7 &lt;&gt; "",Сотрудники!FZ7,"")</f>
        <v/>
      </c>
      <c r="FX1" s="28" t="str">
        <f>IF(Сотрудники!GA7 &lt;&gt; "",Сотрудники!GA7,"")</f>
        <v/>
      </c>
      <c r="FY1" s="28" t="str">
        <f>IF(Сотрудники!GB7 &lt;&gt; "",Сотрудники!GB7,"")</f>
        <v/>
      </c>
      <c r="FZ1" s="28" t="str">
        <f>IF(Сотрудники!GC7 &lt;&gt; "",Сотрудники!GC7,"")</f>
        <v/>
      </c>
      <c r="GA1" s="28" t="str">
        <f>IF(Сотрудники!GD7 &lt;&gt; "",Сотрудники!GD7,"")</f>
        <v/>
      </c>
      <c r="GB1" s="28" t="str">
        <f>IF(Сотрудники!GE7 &lt;&gt; "",Сотрудники!GE7,"")</f>
        <v/>
      </c>
      <c r="GC1" s="28" t="str">
        <f>IF(Сотрудники!GF7 &lt;&gt; "",Сотрудники!GF7,"")</f>
        <v/>
      </c>
      <c r="GD1" s="28" t="str">
        <f>IF(Сотрудники!GG7 &lt;&gt; "",Сотрудники!GG7,"")</f>
        <v/>
      </c>
      <c r="GE1" s="28" t="str">
        <f>IF(Сотрудники!GH7 &lt;&gt; "",Сотрудники!GH7,"")</f>
        <v/>
      </c>
      <c r="GF1" s="28" t="str">
        <f>IF(Сотрудники!GI7 &lt;&gt; "",Сотрудники!GI7,"")</f>
        <v/>
      </c>
      <c r="GG1" s="28" t="str">
        <f>IF(Сотрудники!GJ7 &lt;&gt; "",Сотрудники!GJ7,"")</f>
        <v/>
      </c>
      <c r="GH1" s="28" t="str">
        <f>IF(Сотрудники!GK7 &lt;&gt; "",Сотрудники!GK7,"")</f>
        <v/>
      </c>
      <c r="GI1" s="28" t="str">
        <f>IF(Сотрудники!GL7 &lt;&gt; "",Сотрудники!GL7,"")</f>
        <v/>
      </c>
      <c r="GJ1" s="28" t="str">
        <f>IF(Сотрудники!GM7 &lt;&gt; "",Сотрудники!GM7,"")</f>
        <v/>
      </c>
      <c r="GK1" s="28" t="str">
        <f>IF(Сотрудники!GN7 &lt;&gt; "",Сотрудники!GN7,"")</f>
        <v/>
      </c>
      <c r="GL1" s="28" t="str">
        <f>IF(Сотрудники!GO7 &lt;&gt; "",Сотрудники!GO7,"")</f>
        <v/>
      </c>
      <c r="GM1" s="28" t="str">
        <f>IF(Сотрудники!GP7 &lt;&gt; "",Сотрудники!GP7,"")</f>
        <v/>
      </c>
      <c r="GN1" s="28" t="str">
        <f>IF(Сотрудники!GQ7 &lt;&gt; "",Сотрудники!GQ7,"")</f>
        <v/>
      </c>
      <c r="GO1" s="28" t="str">
        <f>IF(Сотрудники!GR7 &lt;&gt; "",Сотрудники!GR7,"")</f>
        <v/>
      </c>
      <c r="GP1" s="28" t="str">
        <f>IF(Сотрудники!GS7 &lt;&gt; "",Сотрудники!GS7,"")</f>
        <v/>
      </c>
      <c r="GQ1" s="28" t="str">
        <f>IF(Сотрудники!GT7 &lt;&gt; "",Сотрудники!GT7,"")</f>
        <v/>
      </c>
      <c r="GR1" s="28" t="str">
        <f>IF(Сотрудники!GU7 &lt;&gt; "",Сотрудники!GU7,"")</f>
        <v/>
      </c>
      <c r="GS1" s="28" t="str">
        <f>IF(Сотрудники!GV7 &lt;&gt; "",Сотрудники!GV7,"")</f>
        <v/>
      </c>
      <c r="GT1" s="28" t="str">
        <f>IF(Сотрудники!GW7 &lt;&gt; "",Сотрудники!GW7,"")</f>
        <v/>
      </c>
      <c r="GU1" s="28" t="str">
        <f>IF(Сотрудники!GX7 &lt;&gt; "",Сотрудники!GX7,"")</f>
        <v/>
      </c>
      <c r="GV1" s="28" t="str">
        <f>IF(Сотрудники!GY7 &lt;&gt; "",Сотрудники!GY7,"")</f>
        <v/>
      </c>
      <c r="GW1" s="28" t="str">
        <f>IF(Сотрудники!GZ7 &lt;&gt; "",Сотрудники!GZ7,"")</f>
        <v/>
      </c>
      <c r="GX1" s="28" t="str">
        <f>IF(Сотрудники!HA7 &lt;&gt; "",Сотрудники!HA7,"")</f>
        <v/>
      </c>
      <c r="GY1" s="28" t="str">
        <f>IF(Сотрудники!HB7 &lt;&gt; "",Сотрудники!HB7,"")</f>
        <v/>
      </c>
      <c r="GZ1" s="28" t="str">
        <f>IF(Сотрудники!HC7 &lt;&gt; "",Сотрудники!HC7,"")</f>
        <v/>
      </c>
      <c r="HA1" s="28" t="str">
        <f>IF(Сотрудники!HD7 &lt;&gt; "",Сотрудники!HD7,"")</f>
        <v/>
      </c>
      <c r="HB1" s="28" t="str">
        <f>IF(Сотрудники!HE7 &lt;&gt; "",Сотрудники!HE7,"")</f>
        <v/>
      </c>
      <c r="HC1" s="28" t="str">
        <f>IF(Сотрудники!HF7 &lt;&gt; "",Сотрудники!HF7,"")</f>
        <v/>
      </c>
      <c r="HD1" s="28" t="str">
        <f>IF(Сотрудники!HG7 &lt;&gt; "",Сотрудники!HG7,"")</f>
        <v/>
      </c>
      <c r="HE1" s="28" t="str">
        <f>IF(Сотрудники!HH7 &lt;&gt; "",Сотрудники!HH7,"")</f>
        <v/>
      </c>
      <c r="HF1" s="28" t="str">
        <f>IF(Сотрудники!HI7 &lt;&gt; "",Сотрудники!HI7,"")</f>
        <v/>
      </c>
      <c r="HG1" s="28" t="str">
        <f>IF(Сотрудники!HJ7 &lt;&gt; "",Сотрудники!HJ7,"")</f>
        <v/>
      </c>
      <c r="HH1" s="28" t="str">
        <f>IF(Сотрудники!HK7 &lt;&gt; "",Сотрудники!HK7,"")</f>
        <v/>
      </c>
      <c r="HI1" s="28" t="str">
        <f>IF(Сотрудники!HL7 &lt;&gt; "",Сотрудники!HL7,"")</f>
        <v/>
      </c>
      <c r="HJ1" s="28" t="str">
        <f>IF(Сотрудники!HM7 &lt;&gt; "",Сотрудники!HM7,"")</f>
        <v/>
      </c>
      <c r="HK1" s="28" t="str">
        <f>IF(Сотрудники!HN7 &lt;&gt; "",Сотрудники!HN7,"")</f>
        <v/>
      </c>
      <c r="HL1" s="28" t="str">
        <f>IF(Сотрудники!HO7 &lt;&gt; "",Сотрудники!HO7,"")</f>
        <v/>
      </c>
      <c r="HM1" s="28" t="str">
        <f>IF(Сотрудники!HP7 &lt;&gt; "",Сотрудники!HP7,"")</f>
        <v/>
      </c>
      <c r="HN1" s="28" t="str">
        <f>IF(Сотрудники!HQ7 &lt;&gt; "",Сотрудники!HQ7,"")</f>
        <v/>
      </c>
      <c r="HO1" s="28" t="str">
        <f>IF(Сотрудники!HR7 &lt;&gt; "",Сотрудники!HR7,"")</f>
        <v/>
      </c>
      <c r="HP1" s="28" t="str">
        <f>IF(Сотрудники!HS7 &lt;&gt; "",Сотрудники!HS7,"")</f>
        <v/>
      </c>
      <c r="HQ1" s="28" t="str">
        <f>IF(Сотрудники!HT7 &lt;&gt; "",Сотрудники!HT7,"")</f>
        <v/>
      </c>
      <c r="HR1" s="28" t="str">
        <f>IF(Сотрудники!HU7 &lt;&gt; "",Сотрудники!HU7,"")</f>
        <v/>
      </c>
      <c r="HS1" s="28" t="str">
        <f>IF(Сотрудники!HV7 &lt;&gt; "",Сотрудники!HV7,"")</f>
        <v/>
      </c>
      <c r="HT1" s="28" t="str">
        <f>IF(Сотрудники!HW7 &lt;&gt; "",Сотрудники!HW7,"")</f>
        <v/>
      </c>
      <c r="HU1" s="28" t="str">
        <f>IF(Сотрудники!HX7 &lt;&gt; "",Сотрудники!HX7,"")</f>
        <v/>
      </c>
      <c r="HV1" s="28" t="str">
        <f>IF(Сотрудники!HY7 &lt;&gt; "",Сотрудники!HY7,"")</f>
        <v/>
      </c>
      <c r="HW1" s="28" t="str">
        <f>IF(Сотрудники!HZ7 &lt;&gt; "",Сотрудники!HZ7,"")</f>
        <v/>
      </c>
      <c r="HX1" s="28" t="str">
        <f>IF(Сотрудники!IA7 &lt;&gt; "",Сотрудники!IA7,"")</f>
        <v/>
      </c>
      <c r="HY1" s="28" t="str">
        <f>IF(Сотрудники!IB7 &lt;&gt; "",Сотрудники!IB7,"")</f>
        <v/>
      </c>
      <c r="HZ1" s="28" t="str">
        <f>IF(Сотрудники!IC7 &lt;&gt; "",Сотрудники!IC7,"")</f>
        <v/>
      </c>
      <c r="IA1" s="28" t="str">
        <f>IF(Сотрудники!ID7 &lt;&gt; "",Сотрудники!ID7,"")</f>
        <v/>
      </c>
      <c r="IB1" s="28" t="str">
        <f>IF(Сотрудники!IE7 &lt;&gt; "",Сотрудники!IE7,"")</f>
        <v/>
      </c>
      <c r="IC1" s="28" t="str">
        <f>IF(Сотрудники!IF7 &lt;&gt; "",Сотрудники!IF7,"")</f>
        <v/>
      </c>
      <c r="ID1" s="28" t="str">
        <f>IF(Сотрудники!IG7 &lt;&gt; "",Сотрудники!IG7,"")</f>
        <v/>
      </c>
      <c r="IE1" s="28" t="str">
        <f>IF(Сотрудники!IH7 &lt;&gt; "",Сотрудники!IH7,"")</f>
        <v/>
      </c>
      <c r="IF1" s="28" t="str">
        <f>IF(Сотрудники!II7 &lt;&gt; "",Сотрудники!II7,"")</f>
        <v/>
      </c>
      <c r="IG1" s="28" t="str">
        <f>IF(Сотрудники!IJ7 &lt;&gt; "",Сотрудники!IJ7,"")</f>
        <v/>
      </c>
      <c r="IH1" s="28" t="str">
        <f>IF(Сотрудники!IK7 &lt;&gt; "",Сотрудники!IK7,"")</f>
        <v/>
      </c>
      <c r="II1" s="28" t="str">
        <f>IF(Сотрудники!IL7 &lt;&gt; "",Сотрудники!IL7,"")</f>
        <v/>
      </c>
      <c r="IJ1" s="28" t="str">
        <f>IF(Сотрудники!IM7 &lt;&gt; "",Сотрудники!IM7,"")</f>
        <v/>
      </c>
      <c r="IK1" s="28" t="str">
        <f>IF(Сотрудники!IN7 &lt;&gt; "",Сотрудники!IN7,"")</f>
        <v/>
      </c>
      <c r="IL1" s="28" t="str">
        <f>IF(Сотрудники!IO7 &lt;&gt; "",Сотрудники!IO7,"")</f>
        <v/>
      </c>
      <c r="IM1" s="28" t="str">
        <f>IF(Сотрудники!IP7 &lt;&gt; "",Сотрудники!IP7,"")</f>
        <v/>
      </c>
      <c r="IN1" s="28" t="str">
        <f>IF(Сотрудники!IQ7 &lt;&gt; "",Сотрудники!IQ7,"")</f>
        <v/>
      </c>
      <c r="IO1" s="28" t="str">
        <f>IF(Сотрудники!IR7 &lt;&gt; "",Сотрудники!IR7,"")</f>
        <v/>
      </c>
      <c r="IP1" s="28" t="str">
        <f>IF(Сотрудники!IS7 &lt;&gt; "",Сотрудники!IS7,"")</f>
        <v/>
      </c>
      <c r="IQ1" s="28" t="str">
        <f>IF(Сотрудники!IT7 &lt;&gt; "",Сотрудники!IT7,"")</f>
        <v/>
      </c>
      <c r="IR1" s="28" t="str">
        <f>IF(Сотрудники!IU7 &lt;&gt; "",Сотрудники!IU7,"")</f>
        <v/>
      </c>
      <c r="IS1" s="28" t="str">
        <f>IF(Сотрудники!IV7 &lt;&gt; "",Сотрудники!IV7,"")</f>
        <v/>
      </c>
      <c r="IT1" s="28" t="str">
        <f>IF(Сотрудники!IW7 &lt;&gt; "",Сотрудники!IW7,"")</f>
        <v/>
      </c>
      <c r="IU1" s="28" t="str">
        <f>IF(Сотрудники!IX7 &lt;&gt; "",Сотрудники!IX7,"")</f>
        <v/>
      </c>
      <c r="IV1" s="28" t="str">
        <f>IF(Сотрудники!IY7 &lt;&gt; "",Сотрудники!IY7,"")</f>
        <v/>
      </c>
      <c r="IW1" s="28" t="str">
        <f>IF(Сотрудники!IZ7 &lt;&gt; "",Сотрудники!IZ7,"")</f>
        <v/>
      </c>
      <c r="IX1" s="28" t="str">
        <f>IF(Сотрудники!JA7 &lt;&gt; "",Сотрудники!JA7,"")</f>
        <v/>
      </c>
      <c r="IY1" s="28" t="str">
        <f>IF(Сотрудники!JB7 &lt;&gt; "",Сотрудники!JB7,"")</f>
        <v/>
      </c>
      <c r="IZ1" s="28" t="str">
        <f>IF(Сотрудники!JC7 &lt;&gt; "",Сотрудники!JC7,"")</f>
        <v/>
      </c>
      <c r="JA1" s="28" t="str">
        <f>IF(Сотрудники!JD7 &lt;&gt; "",Сотрудники!JD7,"")</f>
        <v/>
      </c>
      <c r="JB1" s="28" t="str">
        <f>IF(Сотрудники!JE7 &lt;&gt; "",Сотрудники!JE7,"")</f>
        <v/>
      </c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</row>
    <row r="2" spans="1:384" s="32" customFormat="1" x14ac:dyDescent="0.25">
      <c r="A2" s="35">
        <f>IF(Сотрудники!A9&lt;&gt;"",Сотрудники!A9,"")</f>
        <v>1</v>
      </c>
      <c r="B2" s="32" t="str">
        <f>IF(Сотрудники!B9 &lt;&gt; "",Сотрудники!B9,"")</f>
        <v>Тоноян Грант Егишевич</v>
      </c>
      <c r="C2" s="36"/>
      <c r="D2" s="36"/>
      <c r="E2" s="36"/>
    </row>
    <row r="3" spans="1:384" s="1" customFormat="1" x14ac:dyDescent="0.25">
      <c r="A3" s="2">
        <f>IF(Сотрудники!A10&lt;&gt;"",Сотрудники!A10,"")</f>
        <v>2</v>
      </c>
      <c r="B3" s="1" t="str">
        <f>IF(Сотрудники!B10 &lt;&gt; "",Сотрудники!B10,"")</f>
        <v>Ташполатова Барно Батыржановна</v>
      </c>
      <c r="C3" s="13"/>
      <c r="D3" s="13"/>
      <c r="E3" s="13"/>
    </row>
    <row r="4" spans="1:384" s="1" customFormat="1" x14ac:dyDescent="0.25">
      <c r="A4" s="2">
        <f>IF(Сотрудники!A11&lt;&gt;"",Сотрудники!A11,"")</f>
        <v>3</v>
      </c>
      <c r="B4" s="1" t="str">
        <f>IF(Сотрудники!B11 &lt;&gt; "",Сотрудники!B11,"")</f>
        <v>Завьялова Татьяна Алексеевна</v>
      </c>
      <c r="C4" s="13">
        <v>44631</v>
      </c>
      <c r="E4" s="13"/>
    </row>
    <row r="5" spans="1:384" s="1" customFormat="1" x14ac:dyDescent="0.25">
      <c r="A5" s="2">
        <f>IF(Сотрудники!A12&lt;&gt;"",Сотрудники!A12,"")</f>
        <v>4</v>
      </c>
      <c r="B5" s="1" t="str">
        <f>IF(Сотрудники!B12 &lt;&gt; "",Сотрудники!B12,"")</f>
        <v>Кузьмина Арина Алексеевна</v>
      </c>
      <c r="C5" s="13"/>
      <c r="E5" s="13">
        <v>44631</v>
      </c>
    </row>
    <row r="6" spans="1:384" s="1" customFormat="1" x14ac:dyDescent="0.25">
      <c r="A6" s="2">
        <f>IF(Сотрудники!A13&lt;&gt;"",Сотрудники!A13,"")</f>
        <v>5</v>
      </c>
      <c r="B6" s="1" t="str">
        <f>IF(Сотрудники!B13 &lt;&gt; "",Сотрудники!B13,"")</f>
        <v>Кобзев Валерий Андреевич</v>
      </c>
      <c r="C6" s="13">
        <v>44631</v>
      </c>
      <c r="D6" s="13">
        <v>44631</v>
      </c>
      <c r="E6" s="13">
        <v>44631</v>
      </c>
    </row>
    <row r="7" spans="1:384" s="1" customFormat="1" x14ac:dyDescent="0.25">
      <c r="A7" s="2">
        <f>IF(Сотрудники!A14&lt;&gt;"",Сотрудники!A14,"")</f>
        <v>6</v>
      </c>
      <c r="B7" s="1" t="str">
        <f>IF(Сотрудники!B14 &lt;&gt; "",Сотрудники!B14,"")</f>
        <v>Ахматханов Бекхан Аюбович</v>
      </c>
      <c r="D7" s="13">
        <v>44631</v>
      </c>
    </row>
    <row r="8" spans="1:384" s="1" customFormat="1" x14ac:dyDescent="0.25">
      <c r="A8" s="2">
        <f>IF(Сотрудники!A15&lt;&gt;"",Сотрудники!A15,"")</f>
        <v>7</v>
      </c>
      <c r="B8" s="1" t="str">
        <f>IF(Сотрудники!B15 &lt;&gt; "",Сотрудники!B15,"")</f>
        <v>Апиков Ислам Борисович</v>
      </c>
    </row>
    <row r="9" spans="1:384" s="1" customFormat="1" x14ac:dyDescent="0.25">
      <c r="A9" s="2">
        <f>IF(Сотрудники!A16&lt;&gt;"",Сотрудники!A16,"")</f>
        <v>8</v>
      </c>
      <c r="B9" s="1" t="str">
        <f>IF(Сотрудники!B16 &lt;&gt; "",Сотрудники!B16,"")</f>
        <v>Запылихин Владислав Сергеевич</v>
      </c>
      <c r="D9" s="13">
        <v>44631</v>
      </c>
    </row>
    <row r="10" spans="1:384" s="1" customFormat="1" x14ac:dyDescent="0.25">
      <c r="A10" s="2">
        <f>IF(Сотрудники!A17&lt;&gt;"",Сотрудники!A17,"")</f>
        <v>9</v>
      </c>
      <c r="B10" s="1" t="str">
        <f>IF(Сотрудники!B17 &lt;&gt; "",Сотрудники!B17,"")</f>
        <v>Миленькая Яна Александровна</v>
      </c>
      <c r="C10" s="13">
        <v>44631</v>
      </c>
    </row>
    <row r="11" spans="1:384" s="1" customFormat="1" x14ac:dyDescent="0.25">
      <c r="A11" s="2">
        <f>IF(Сотрудники!A18&lt;&gt;"",Сотрудники!A18,"")</f>
        <v>10</v>
      </c>
      <c r="B11" s="1" t="str">
        <f>IF(Сотрудники!B18 &lt;&gt; "",Сотрудники!B18,"")</f>
        <v>Мяликов Эмиль Рустямович</v>
      </c>
      <c r="C11" s="13">
        <v>44631</v>
      </c>
      <c r="E11" s="13">
        <v>44631</v>
      </c>
    </row>
    <row r="12" spans="1:384" s="1" customFormat="1" x14ac:dyDescent="0.25">
      <c r="A12" s="2" t="str">
        <f>IF(Сотрудники!A19&lt;&gt;"",Сотрудники!A19,"")</f>
        <v/>
      </c>
      <c r="B12" s="1" t="str">
        <f>IF(Сотрудники!B19 &lt;&gt; "",Сотрудники!B19,"")</f>
        <v/>
      </c>
    </row>
    <row r="13" spans="1:384" s="1" customFormat="1" x14ac:dyDescent="0.25">
      <c r="A13" s="2" t="str">
        <f>IF(Сотрудники!A20&lt;&gt;"",Сотрудники!A20,"")</f>
        <v/>
      </c>
      <c r="B13" s="1" t="str">
        <f>IF(Сотрудники!B20 &lt;&gt; "",Сотрудники!B20,"")</f>
        <v/>
      </c>
    </row>
    <row r="14" spans="1:384" s="1" customFormat="1" x14ac:dyDescent="0.25">
      <c r="A14" s="2" t="str">
        <f>IF(Сотрудники!A21&lt;&gt;"",Сотрудники!A21,"")</f>
        <v/>
      </c>
      <c r="B14" s="1" t="str">
        <f>IF(Сотрудники!B21 &lt;&gt; "",Сотрудники!B21,"")</f>
        <v/>
      </c>
    </row>
    <row r="15" spans="1:384" s="1" customFormat="1" x14ac:dyDescent="0.25">
      <c r="A15" s="2" t="str">
        <f>IF(Сотрудники!A22&lt;&gt;"",Сотрудники!A22,"")</f>
        <v/>
      </c>
      <c r="B15" s="1" t="str">
        <f>IF(Сотрудники!B22 &lt;&gt; "",Сотрудники!B22,"")</f>
        <v/>
      </c>
    </row>
    <row r="16" spans="1:384" s="1" customFormat="1" x14ac:dyDescent="0.25">
      <c r="A16" s="2" t="str">
        <f>IF(Сотрудники!A23&lt;&gt;"",Сотрудники!A23,"")</f>
        <v/>
      </c>
      <c r="B16" s="1" t="str">
        <f>IF(Сотрудники!B23 &lt;&gt; "",Сотрудники!B23,"")</f>
        <v/>
      </c>
    </row>
    <row r="17" spans="1:2" s="1" customFormat="1" x14ac:dyDescent="0.25">
      <c r="A17" s="2" t="str">
        <f>IF(Сотрудники!A24&lt;&gt;"",Сотрудники!A24,"")</f>
        <v/>
      </c>
      <c r="B17" s="1" t="str">
        <f>IF(Сотрудники!B24 &lt;&gt; "",Сотрудники!B24,"")</f>
        <v/>
      </c>
    </row>
    <row r="18" spans="1:2" s="1" customFormat="1" x14ac:dyDescent="0.25">
      <c r="A18" s="2" t="str">
        <f>IF(Сотрудники!A25&lt;&gt;"",Сотрудники!A25,"")</f>
        <v/>
      </c>
      <c r="B18" s="1" t="str">
        <f>IF(Сотрудники!B25 &lt;&gt; "",Сотрудники!B25,"")</f>
        <v/>
      </c>
    </row>
    <row r="19" spans="1:2" s="1" customFormat="1" x14ac:dyDescent="0.25">
      <c r="A19" s="2" t="str">
        <f>IF(Сотрудники!A26&lt;&gt;"",Сотрудники!A26,"")</f>
        <v/>
      </c>
      <c r="B19" s="1" t="str">
        <f>IF(Сотрудники!B26 &lt;&gt; "",Сотрудники!B26,"")</f>
        <v/>
      </c>
    </row>
    <row r="20" spans="1:2" s="1" customFormat="1" x14ac:dyDescent="0.25">
      <c r="A20" s="2" t="str">
        <f>IF(Сотрудники!A27&lt;&gt;"",Сотрудники!A27,"")</f>
        <v/>
      </c>
      <c r="B20" s="1" t="str">
        <f>IF(Сотрудники!B27 &lt;&gt; "",Сотрудники!B27,"")</f>
        <v/>
      </c>
    </row>
    <row r="21" spans="1:2" s="1" customFormat="1" x14ac:dyDescent="0.25">
      <c r="A21" s="2" t="str">
        <f>IF(Сотрудники!A28&lt;&gt;"",Сотрудники!A28,"")</f>
        <v/>
      </c>
      <c r="B21" s="1" t="str">
        <f>IF(Сотрудники!B28 &lt;&gt; "",Сотрудники!B28,"")</f>
        <v/>
      </c>
    </row>
    <row r="22" spans="1:2" s="1" customFormat="1" x14ac:dyDescent="0.25">
      <c r="A22" s="2" t="str">
        <f>IF(Сотрудники!A29&lt;&gt;"",Сотрудники!A29,"")</f>
        <v/>
      </c>
      <c r="B22" s="1" t="str">
        <f>IF(Сотрудники!B29 &lt;&gt; "",Сотрудники!B29,"")</f>
        <v/>
      </c>
    </row>
    <row r="23" spans="1:2" s="1" customFormat="1" x14ac:dyDescent="0.25">
      <c r="A23" s="2" t="str">
        <f>IF(Сотрудники!A30&lt;&gt;"",Сотрудники!A30,"")</f>
        <v/>
      </c>
      <c r="B23" s="1" t="str">
        <f>IF(Сотрудники!B30 &lt;&gt; "",Сотрудники!B30,"")</f>
        <v/>
      </c>
    </row>
    <row r="24" spans="1:2" s="1" customFormat="1" x14ac:dyDescent="0.25">
      <c r="A24" s="2" t="str">
        <f>IF(Сотрудники!A31&lt;&gt;"",Сотрудники!A31,"")</f>
        <v/>
      </c>
      <c r="B24" s="1" t="str">
        <f>IF(Сотрудники!B31 &lt;&gt; "",Сотрудники!B31,"")</f>
        <v/>
      </c>
    </row>
    <row r="25" spans="1:2" s="1" customFormat="1" x14ac:dyDescent="0.25">
      <c r="A25" s="2" t="str">
        <f>IF(Сотрудники!A32&lt;&gt;"",Сотрудники!A32,"")</f>
        <v/>
      </c>
      <c r="B25" s="1" t="str">
        <f>IF(Сотрудники!B32 &lt;&gt; "",Сотрудники!B32,"")</f>
        <v/>
      </c>
    </row>
    <row r="26" spans="1:2" s="1" customFormat="1" x14ac:dyDescent="0.25">
      <c r="A26" s="2" t="str">
        <f>IF(Сотрудники!A33&lt;&gt;"",Сотрудники!A33,"")</f>
        <v/>
      </c>
      <c r="B26" s="1" t="str">
        <f>IF(Сотрудники!B33 &lt;&gt; "",Сотрудники!B33,"")</f>
        <v/>
      </c>
    </row>
    <row r="27" spans="1:2" s="1" customFormat="1" x14ac:dyDescent="0.25">
      <c r="A27" s="2" t="str">
        <f>IF(Сотрудники!A34&lt;&gt;"",Сотрудники!A34,"")</f>
        <v/>
      </c>
      <c r="B27" s="1" t="str">
        <f>IF(Сотрудники!B34 &lt;&gt; "",Сотрудники!B34,"")</f>
        <v/>
      </c>
    </row>
    <row r="28" spans="1:2" s="1" customFormat="1" x14ac:dyDescent="0.25">
      <c r="A28" s="2" t="str">
        <f>IF(Сотрудники!A35&lt;&gt;"",Сотрудники!A35,"")</f>
        <v/>
      </c>
      <c r="B28" s="1" t="str">
        <f>IF(Сотрудники!B35 &lt;&gt; "",Сотрудники!B35,"")</f>
        <v/>
      </c>
    </row>
    <row r="29" spans="1:2" s="1" customFormat="1" x14ac:dyDescent="0.25">
      <c r="A29" s="2" t="str">
        <f>IF(Сотрудники!A36&lt;&gt;"",Сотрудники!A36,"")</f>
        <v/>
      </c>
      <c r="B29" s="1" t="str">
        <f>IF(Сотрудники!B36 &lt;&gt; "",Сотрудники!B36,"")</f>
        <v/>
      </c>
    </row>
    <row r="30" spans="1:2" s="1" customFormat="1" x14ac:dyDescent="0.25">
      <c r="A30" s="2" t="str">
        <f>IF(Сотрудники!A37&lt;&gt;"",Сотрудники!A37,"")</f>
        <v/>
      </c>
      <c r="B30" s="1" t="str">
        <f>IF(Сотрудники!B37 &lt;&gt; "",Сотрудники!B37,"")</f>
        <v/>
      </c>
    </row>
    <row r="31" spans="1:2" s="1" customFormat="1" x14ac:dyDescent="0.25">
      <c r="A31" s="2" t="str">
        <f>IF(Сотрудники!A38&lt;&gt;"",Сотрудники!A38,"")</f>
        <v/>
      </c>
      <c r="B31" s="1" t="str">
        <f>IF(Сотрудники!B38 &lt;&gt; "",Сотрудники!B38,"")</f>
        <v/>
      </c>
    </row>
    <row r="32" spans="1:2" s="1" customFormat="1" x14ac:dyDescent="0.25">
      <c r="A32" s="2" t="str">
        <f>IF(Сотрудники!A39&lt;&gt;"",Сотрудники!A39,"")</f>
        <v/>
      </c>
      <c r="B32" s="1" t="str">
        <f>IF(Сотрудники!B39 &lt;&gt; "",Сотрудники!B39,"")</f>
        <v/>
      </c>
    </row>
    <row r="33" spans="1:2" s="1" customFormat="1" x14ac:dyDescent="0.25">
      <c r="A33" s="2" t="str">
        <f>IF(Сотрудники!A40&lt;&gt;"",Сотрудники!A40,"")</f>
        <v/>
      </c>
      <c r="B33" s="1" t="str">
        <f>IF(Сотрудники!B40 &lt;&gt; "",Сотрудники!B40,"")</f>
        <v/>
      </c>
    </row>
    <row r="34" spans="1:2" s="1" customFormat="1" x14ac:dyDescent="0.25">
      <c r="A34" s="2" t="str">
        <f>IF(Сотрудники!A41&lt;&gt;"",Сотрудники!A41,"")</f>
        <v/>
      </c>
      <c r="B34" s="1" t="str">
        <f>IF(Сотрудники!B41 &lt;&gt; "",Сотрудники!B41,"")</f>
        <v/>
      </c>
    </row>
    <row r="35" spans="1:2" s="1" customFormat="1" x14ac:dyDescent="0.25">
      <c r="A35" s="2" t="str">
        <f>IF(Сотрудники!A42&lt;&gt;"",Сотрудники!A42,"")</f>
        <v/>
      </c>
      <c r="B35" s="1" t="str">
        <f>IF(Сотрудники!B42 &lt;&gt; "",Сотрудники!B42,"")</f>
        <v/>
      </c>
    </row>
    <row r="36" spans="1:2" s="1" customFormat="1" x14ac:dyDescent="0.25">
      <c r="A36" s="2" t="str">
        <f>IF(Сотрудники!A43&lt;&gt;"",Сотрудники!A43,"")</f>
        <v/>
      </c>
      <c r="B36" s="1" t="str">
        <f>IF(Сотрудники!B43 &lt;&gt; "",Сотрудники!B43,"")</f>
        <v/>
      </c>
    </row>
    <row r="37" spans="1:2" s="1" customFormat="1" x14ac:dyDescent="0.25">
      <c r="A37" s="2" t="str">
        <f>IF(Сотрудники!A44&lt;&gt;"",Сотрудники!A44,"")</f>
        <v/>
      </c>
      <c r="B37" s="1" t="str">
        <f>IF(Сотрудники!B44 &lt;&gt; "",Сотрудники!B44,"")</f>
        <v/>
      </c>
    </row>
    <row r="38" spans="1:2" s="1" customFormat="1" x14ac:dyDescent="0.25">
      <c r="A38" s="2" t="str">
        <f>IF(Сотрудники!A45&lt;&gt;"",Сотрудники!A45,"")</f>
        <v/>
      </c>
      <c r="B38" s="1" t="str">
        <f>IF(Сотрудники!B45 &lt;&gt; "",Сотрудники!B45,"")</f>
        <v/>
      </c>
    </row>
    <row r="39" spans="1:2" s="1" customFormat="1" x14ac:dyDescent="0.25">
      <c r="A39" s="2" t="str">
        <f>IF(Сотрудники!A46&lt;&gt;"",Сотрудники!A46,"")</f>
        <v/>
      </c>
      <c r="B39" s="1" t="str">
        <f>IF(Сотрудники!B46 &lt;&gt; "",Сотрудники!B46,"")</f>
        <v/>
      </c>
    </row>
    <row r="40" spans="1:2" s="1" customFormat="1" x14ac:dyDescent="0.25">
      <c r="A40" s="2" t="str">
        <f>IF(Сотрудники!A47&lt;&gt;"",Сотрудники!A47,"")</f>
        <v/>
      </c>
      <c r="B40" s="1" t="str">
        <f>IF(Сотрудники!B47 &lt;&gt; "",Сотрудники!B47,"")</f>
        <v/>
      </c>
    </row>
    <row r="41" spans="1:2" s="1" customFormat="1" x14ac:dyDescent="0.25">
      <c r="A41" s="2" t="str">
        <f>IF(Сотрудники!A48&lt;&gt;"",Сотрудники!A48,"")</f>
        <v/>
      </c>
      <c r="B41" s="1" t="str">
        <f>IF(Сотрудники!B48 &lt;&gt; "",Сотрудники!B48,"")</f>
        <v/>
      </c>
    </row>
    <row r="42" spans="1:2" s="1" customFormat="1" x14ac:dyDescent="0.25">
      <c r="A42" s="2" t="str">
        <f>IF(Сотрудники!A49&lt;&gt;"",Сотрудники!A49,"")</f>
        <v/>
      </c>
      <c r="B42" s="1" t="str">
        <f>IF(Сотрудники!B49 &lt;&gt; "",Сотрудники!B49,"")</f>
        <v/>
      </c>
    </row>
    <row r="43" spans="1:2" s="1" customFormat="1" x14ac:dyDescent="0.25">
      <c r="A43" s="2" t="str">
        <f>IF(Сотрудники!A50&lt;&gt;"",Сотрудники!A50,"")</f>
        <v/>
      </c>
      <c r="B43" s="1" t="str">
        <f>IF(Сотрудники!B50 &lt;&gt; "",Сотрудники!B50,"")</f>
        <v/>
      </c>
    </row>
    <row r="44" spans="1:2" s="1" customFormat="1" x14ac:dyDescent="0.25">
      <c r="A44" s="2" t="str">
        <f>IF(Сотрудники!A51&lt;&gt;"",Сотрудники!A51,"")</f>
        <v/>
      </c>
      <c r="B44" s="1" t="str">
        <f>IF(Сотрудники!B51 &lt;&gt; "",Сотрудники!B51,"")</f>
        <v/>
      </c>
    </row>
    <row r="45" spans="1:2" s="1" customFormat="1" x14ac:dyDescent="0.25">
      <c r="A45" s="2" t="str">
        <f>IF(Сотрудники!A52&lt;&gt;"",Сотрудники!A52,"")</f>
        <v/>
      </c>
      <c r="B45" s="1" t="str">
        <f>IF(Сотрудники!B52 &lt;&gt; "",Сотрудники!B52,"")</f>
        <v/>
      </c>
    </row>
    <row r="46" spans="1:2" s="1" customFormat="1" x14ac:dyDescent="0.25">
      <c r="A46" s="2" t="str">
        <f>IF(Сотрудники!A53&lt;&gt;"",Сотрудники!A53,"")</f>
        <v/>
      </c>
      <c r="B46" s="1" t="str">
        <f>IF(Сотрудники!B53 &lt;&gt; "",Сотрудники!B53,"")</f>
        <v/>
      </c>
    </row>
    <row r="47" spans="1:2" s="1" customFormat="1" x14ac:dyDescent="0.25">
      <c r="A47" s="2" t="str">
        <f>IF(Сотрудники!A54&lt;&gt;"",Сотрудники!A54,"")</f>
        <v/>
      </c>
      <c r="B47" s="1" t="str">
        <f>IF(Сотрудники!B54 &lt;&gt; "",Сотрудники!B54,"")</f>
        <v/>
      </c>
    </row>
    <row r="48" spans="1:2" s="1" customFormat="1" x14ac:dyDescent="0.25">
      <c r="A48" s="2" t="str">
        <f>IF(Сотрудники!A55&lt;&gt;"",Сотрудники!A55,"")</f>
        <v/>
      </c>
      <c r="B48" s="1" t="str">
        <f>IF(Сотрудники!B55 &lt;&gt; "",Сотрудники!B55,"")</f>
        <v/>
      </c>
    </row>
    <row r="49" spans="1:2" s="1" customFormat="1" x14ac:dyDescent="0.25">
      <c r="A49" s="2" t="str">
        <f>IF(Сотрудники!A56&lt;&gt;"",Сотрудники!A56,"")</f>
        <v/>
      </c>
      <c r="B49" s="1" t="str">
        <f>IF(Сотрудники!B56 &lt;&gt; "",Сотрудники!B56,"")</f>
        <v/>
      </c>
    </row>
    <row r="50" spans="1:2" s="1" customFormat="1" x14ac:dyDescent="0.25">
      <c r="A50" s="2" t="str">
        <f>IF(Сотрудники!A57&lt;&gt;"",Сотрудники!A57,"")</f>
        <v/>
      </c>
      <c r="B50" s="1" t="str">
        <f>IF(Сотрудники!B57 &lt;&gt; "",Сотрудники!B57,"")</f>
        <v/>
      </c>
    </row>
    <row r="51" spans="1:2" s="1" customFormat="1" x14ac:dyDescent="0.25">
      <c r="A51" s="2" t="str">
        <f>IF(Сотрудники!A58&lt;&gt;"",Сотрудники!A58,"")</f>
        <v/>
      </c>
      <c r="B51" s="1" t="str">
        <f>IF(Сотрудники!B58 &lt;&gt; "",Сотрудники!B58,"")</f>
        <v/>
      </c>
    </row>
    <row r="52" spans="1:2" s="1" customFormat="1" x14ac:dyDescent="0.25">
      <c r="A52" s="2" t="str">
        <f>IF(Сотрудники!A59&lt;&gt;"",Сотрудники!A59,"")</f>
        <v/>
      </c>
      <c r="B52" s="1" t="str">
        <f>IF(Сотрудники!B59 &lt;&gt; "",Сотрудники!B59,"")</f>
        <v/>
      </c>
    </row>
    <row r="53" spans="1:2" s="1" customFormat="1" x14ac:dyDescent="0.25">
      <c r="A53" s="2" t="str">
        <f>IF(Сотрудники!A60&lt;&gt;"",Сотрудники!A60,"")</f>
        <v/>
      </c>
      <c r="B53" s="1" t="str">
        <f>IF(Сотрудники!B60 &lt;&gt; "",Сотрудники!B60,"")</f>
        <v/>
      </c>
    </row>
    <row r="54" spans="1:2" s="1" customFormat="1" x14ac:dyDescent="0.25">
      <c r="A54" s="2" t="str">
        <f>IF(Сотрудники!A61&lt;&gt;"",Сотрудники!A61,"")</f>
        <v/>
      </c>
      <c r="B54" s="1" t="str">
        <f>IF(Сотрудники!B61 &lt;&gt; "",Сотрудники!B61,"")</f>
        <v/>
      </c>
    </row>
    <row r="55" spans="1:2" s="1" customFormat="1" x14ac:dyDescent="0.25">
      <c r="A55" s="2" t="str">
        <f>IF(Сотрудники!A62&lt;&gt;"",Сотрудники!A62,"")</f>
        <v/>
      </c>
      <c r="B55" s="1" t="str">
        <f>IF(Сотрудники!B62 &lt;&gt; "",Сотрудники!B62,"")</f>
        <v/>
      </c>
    </row>
    <row r="56" spans="1:2" s="1" customFormat="1" x14ac:dyDescent="0.25">
      <c r="A56" s="2" t="str">
        <f>IF(Сотрудники!A63&lt;&gt;"",Сотрудники!A63,"")</f>
        <v/>
      </c>
      <c r="B56" s="1" t="str">
        <f>IF(Сотрудники!B63 &lt;&gt; "",Сотрудники!B63,"")</f>
        <v/>
      </c>
    </row>
    <row r="57" spans="1:2" s="1" customFormat="1" x14ac:dyDescent="0.25">
      <c r="A57" s="2" t="str">
        <f>IF(Сотрудники!A64&lt;&gt;"",Сотрудники!A64,"")</f>
        <v/>
      </c>
      <c r="B57" s="1" t="str">
        <f>IF(Сотрудники!B64 &lt;&gt; "",Сотрудники!B64,"")</f>
        <v/>
      </c>
    </row>
    <row r="58" spans="1:2" s="1" customFormat="1" x14ac:dyDescent="0.25">
      <c r="A58" s="2" t="str">
        <f>IF(Сотрудники!A65&lt;&gt;"",Сотрудники!A65,"")</f>
        <v/>
      </c>
      <c r="B58" s="1" t="str">
        <f>IF(Сотрудники!B65 &lt;&gt; "",Сотрудники!B65,"")</f>
        <v/>
      </c>
    </row>
    <row r="59" spans="1:2" s="1" customFormat="1" x14ac:dyDescent="0.25">
      <c r="A59" s="2" t="str">
        <f>IF(Сотрудники!A66&lt;&gt;"",Сотрудники!A66,"")</f>
        <v/>
      </c>
      <c r="B59" s="1" t="str">
        <f>IF(Сотрудники!B66 &lt;&gt; "",Сотрудники!B66,"")</f>
        <v/>
      </c>
    </row>
    <row r="60" spans="1:2" s="1" customFormat="1" x14ac:dyDescent="0.25">
      <c r="A60" s="2" t="str">
        <f>IF(Сотрудники!A67&lt;&gt;"",Сотрудники!A67,"")</f>
        <v/>
      </c>
      <c r="B60" s="1" t="str">
        <f>IF(Сотрудники!B67 &lt;&gt; "",Сотрудники!B67,"")</f>
        <v/>
      </c>
    </row>
    <row r="61" spans="1:2" s="1" customFormat="1" x14ac:dyDescent="0.25">
      <c r="A61" s="2" t="str">
        <f>IF(Сотрудники!A68&lt;&gt;"",Сотрудники!A68,"")</f>
        <v/>
      </c>
      <c r="B61" s="1" t="str">
        <f>IF(Сотрудники!B68 &lt;&gt; "",Сотрудники!B68,"")</f>
        <v/>
      </c>
    </row>
    <row r="62" spans="1:2" s="1" customFormat="1" x14ac:dyDescent="0.25">
      <c r="A62" s="2" t="str">
        <f>IF(Сотрудники!A69&lt;&gt;"",Сотрудники!A69,"")</f>
        <v/>
      </c>
      <c r="B62" s="1" t="str">
        <f>IF(Сотрудники!B69 &lt;&gt; "",Сотрудники!B69,"")</f>
        <v/>
      </c>
    </row>
    <row r="63" spans="1:2" s="1" customFormat="1" x14ac:dyDescent="0.25">
      <c r="A63" s="2" t="str">
        <f>IF(Сотрудники!A70&lt;&gt;"",Сотрудники!A70,"")</f>
        <v/>
      </c>
      <c r="B63" s="1" t="str">
        <f>IF(Сотрудники!B70 &lt;&gt; "",Сотрудники!B70,"")</f>
        <v/>
      </c>
    </row>
    <row r="64" spans="1:2" s="1" customFormat="1" x14ac:dyDescent="0.25">
      <c r="A64" s="2" t="str">
        <f>IF(Сотрудники!A71&lt;&gt;"",Сотрудники!A71,"")</f>
        <v/>
      </c>
      <c r="B64" s="1" t="str">
        <f>IF(Сотрудники!B71 &lt;&gt; "",Сотрудники!B71,"")</f>
        <v/>
      </c>
    </row>
    <row r="65" spans="1:2" s="1" customFormat="1" x14ac:dyDescent="0.25">
      <c r="A65" s="2" t="str">
        <f>IF(Сотрудники!A72&lt;&gt;"",Сотрудники!A72,"")</f>
        <v/>
      </c>
      <c r="B65" s="1" t="str">
        <f>IF(Сотрудники!B72 &lt;&gt; "",Сотрудники!B72,"")</f>
        <v/>
      </c>
    </row>
    <row r="66" spans="1:2" s="1" customFormat="1" x14ac:dyDescent="0.25">
      <c r="A66" s="2" t="str">
        <f>IF(Сотрудники!A73&lt;&gt;"",Сотрудники!A73,"")</f>
        <v/>
      </c>
      <c r="B66" s="1" t="str">
        <f>IF(Сотрудники!B73 &lt;&gt; "",Сотрудники!B73,"")</f>
        <v/>
      </c>
    </row>
    <row r="67" spans="1:2" s="1" customFormat="1" x14ac:dyDescent="0.25">
      <c r="A67" s="2" t="str">
        <f>IF(Сотрудники!A74&lt;&gt;"",Сотрудники!A74,"")</f>
        <v/>
      </c>
      <c r="B67" s="1" t="str">
        <f>IF(Сотрудники!B74 &lt;&gt; "",Сотрудники!B74,"")</f>
        <v/>
      </c>
    </row>
    <row r="68" spans="1:2" s="1" customFormat="1" x14ac:dyDescent="0.25">
      <c r="A68" s="2" t="str">
        <f>IF(Сотрудники!A75&lt;&gt;"",Сотрудники!A75,"")</f>
        <v/>
      </c>
      <c r="B68" s="1" t="str">
        <f>IF(Сотрудники!B75 &lt;&gt; "",Сотрудники!B75,"")</f>
        <v/>
      </c>
    </row>
    <row r="69" spans="1:2" s="1" customFormat="1" x14ac:dyDescent="0.25">
      <c r="A69" s="2" t="str">
        <f>IF(Сотрудники!A76&lt;&gt;"",Сотрудники!A76,"")</f>
        <v/>
      </c>
      <c r="B69" s="1" t="str">
        <f>IF(Сотрудники!B76 &lt;&gt; "",Сотрудники!B76,"")</f>
        <v/>
      </c>
    </row>
    <row r="70" spans="1:2" s="1" customFormat="1" x14ac:dyDescent="0.25">
      <c r="A70" s="2" t="str">
        <f>IF(Сотрудники!A77&lt;&gt;"",Сотрудники!A77,"")</f>
        <v/>
      </c>
      <c r="B70" s="1" t="str">
        <f>IF(Сотрудники!B77 &lt;&gt; "",Сотрудники!B77,"")</f>
        <v/>
      </c>
    </row>
    <row r="71" spans="1:2" s="1" customFormat="1" x14ac:dyDescent="0.25">
      <c r="A71" s="2" t="str">
        <f>IF(Сотрудники!A78&lt;&gt;"",Сотрудники!A78,"")</f>
        <v/>
      </c>
      <c r="B71" s="1" t="str">
        <f>IF(Сотрудники!B78 &lt;&gt; "",Сотрудники!B78,"")</f>
        <v/>
      </c>
    </row>
    <row r="72" spans="1:2" s="1" customFormat="1" x14ac:dyDescent="0.25">
      <c r="A72" s="2" t="str">
        <f>IF(Сотрудники!A79&lt;&gt;"",Сотрудники!A79,"")</f>
        <v/>
      </c>
      <c r="B72" s="1" t="str">
        <f>IF(Сотрудники!B79 &lt;&gt; "",Сотрудники!B79,"")</f>
        <v/>
      </c>
    </row>
    <row r="73" spans="1:2" s="1" customFormat="1" x14ac:dyDescent="0.25">
      <c r="A73" s="2" t="str">
        <f>IF(Сотрудники!A80&lt;&gt;"",Сотрудники!A80,"")</f>
        <v/>
      </c>
      <c r="B73" s="1" t="str">
        <f>IF(Сотрудники!B80 &lt;&gt; "",Сотрудники!B80,"")</f>
        <v/>
      </c>
    </row>
    <row r="74" spans="1:2" s="1" customFormat="1" x14ac:dyDescent="0.25">
      <c r="A74" s="2" t="str">
        <f>IF(Сотрудники!A81&lt;&gt;"",Сотрудники!A81,"")</f>
        <v/>
      </c>
      <c r="B74" s="1" t="str">
        <f>IF(Сотрудники!B81 &lt;&gt; "",Сотрудники!B81,"")</f>
        <v/>
      </c>
    </row>
    <row r="75" spans="1:2" s="1" customFormat="1" x14ac:dyDescent="0.25">
      <c r="A75" s="2" t="str">
        <f>IF(Сотрудники!A82&lt;&gt;"",Сотрудники!A82,"")</f>
        <v/>
      </c>
      <c r="B75" s="1" t="str">
        <f>IF(Сотрудники!B82 &lt;&gt; "",Сотрудники!B82,"")</f>
        <v/>
      </c>
    </row>
    <row r="76" spans="1:2" s="1" customFormat="1" x14ac:dyDescent="0.25">
      <c r="A76" s="2" t="str">
        <f>IF(Сотрудники!A83&lt;&gt;"",Сотрудники!A83,"")</f>
        <v/>
      </c>
      <c r="B76" s="1" t="str">
        <f>IF(Сотрудники!B83 &lt;&gt; "",Сотрудники!B83,"")</f>
        <v/>
      </c>
    </row>
    <row r="77" spans="1:2" s="1" customFormat="1" x14ac:dyDescent="0.25">
      <c r="A77" s="2" t="str">
        <f>IF(Сотрудники!A84&lt;&gt;"",Сотрудники!A84,"")</f>
        <v/>
      </c>
      <c r="B77" s="1" t="str">
        <f>IF(Сотрудники!B84 &lt;&gt; "",Сотрудники!B84,"")</f>
        <v/>
      </c>
    </row>
    <row r="78" spans="1:2" s="1" customFormat="1" x14ac:dyDescent="0.25">
      <c r="A78" s="2" t="str">
        <f>IF(Сотрудники!A85&lt;&gt;"",Сотрудники!A85,"")</f>
        <v/>
      </c>
      <c r="B78" s="1" t="str">
        <f>IF(Сотрудники!B85 &lt;&gt; "",Сотрудники!B85,"")</f>
        <v/>
      </c>
    </row>
    <row r="79" spans="1:2" s="1" customFormat="1" x14ac:dyDescent="0.25">
      <c r="A79" s="2" t="str">
        <f>IF(Сотрудники!A86&lt;&gt;"",Сотрудники!A86,"")</f>
        <v/>
      </c>
      <c r="B79" s="1" t="str">
        <f>IF(Сотрудники!B86 &lt;&gt; "",Сотрудники!B86,"")</f>
        <v/>
      </c>
    </row>
    <row r="80" spans="1:2" s="1" customFormat="1" x14ac:dyDescent="0.25">
      <c r="A80" s="2" t="str">
        <f>IF(Сотрудники!A87&lt;&gt;"",Сотрудники!A87,"")</f>
        <v/>
      </c>
      <c r="B80" s="1" t="str">
        <f>IF(Сотрудники!B87 &lt;&gt; "",Сотрудники!B87,"")</f>
        <v/>
      </c>
    </row>
    <row r="81" spans="1:2" s="1" customFormat="1" x14ac:dyDescent="0.25">
      <c r="A81" s="2" t="str">
        <f>IF(Сотрудники!A88&lt;&gt;"",Сотрудники!A88,"")</f>
        <v/>
      </c>
      <c r="B81" s="1" t="str">
        <f>IF(Сотрудники!B88 &lt;&gt; "",Сотрудники!B88,"")</f>
        <v/>
      </c>
    </row>
    <row r="82" spans="1:2" s="1" customFormat="1" x14ac:dyDescent="0.25">
      <c r="A82" s="2" t="str">
        <f>IF(Сотрудники!A89&lt;&gt;"",Сотрудники!A89,"")</f>
        <v/>
      </c>
      <c r="B82" s="1" t="str">
        <f>IF(Сотрудники!B89 &lt;&gt; "",Сотрудники!B89,"")</f>
        <v/>
      </c>
    </row>
    <row r="83" spans="1:2" s="1" customFormat="1" x14ac:dyDescent="0.25">
      <c r="A83" s="2" t="str">
        <f>IF(Сотрудники!A90&lt;&gt;"",Сотрудники!A90,"")</f>
        <v/>
      </c>
      <c r="B83" s="1" t="str">
        <f>IF(Сотрудники!B90 &lt;&gt; "",Сотрудники!B90,"")</f>
        <v/>
      </c>
    </row>
    <row r="84" spans="1:2" s="1" customFormat="1" x14ac:dyDescent="0.25">
      <c r="A84" s="2" t="str">
        <f>IF(Сотрудники!A91&lt;&gt;"",Сотрудники!A91,"")</f>
        <v/>
      </c>
      <c r="B84" s="1" t="str">
        <f>IF(Сотрудники!B91 &lt;&gt; "",Сотрудники!B91,"")</f>
        <v/>
      </c>
    </row>
    <row r="85" spans="1:2" s="1" customFormat="1" x14ac:dyDescent="0.25">
      <c r="A85" s="2" t="str">
        <f>IF(Сотрудники!A92&lt;&gt;"",Сотрудники!A92,"")</f>
        <v/>
      </c>
      <c r="B85" s="1" t="str">
        <f>IF(Сотрудники!B92 &lt;&gt; "",Сотрудники!B92,"")</f>
        <v/>
      </c>
    </row>
    <row r="86" spans="1:2" s="1" customFormat="1" x14ac:dyDescent="0.25">
      <c r="A86" s="2" t="str">
        <f>IF(Сотрудники!A93&lt;&gt;"",Сотрудники!A93,"")</f>
        <v/>
      </c>
      <c r="B86" s="1" t="str">
        <f>IF(Сотрудники!B93 &lt;&gt; "",Сотрудники!B93,"")</f>
        <v/>
      </c>
    </row>
    <row r="87" spans="1:2" s="1" customFormat="1" x14ac:dyDescent="0.25">
      <c r="A87" s="2" t="str">
        <f>IF(Сотрудники!A94&lt;&gt;"",Сотрудники!A94,"")</f>
        <v/>
      </c>
      <c r="B87" s="1" t="str">
        <f>IF(Сотрудники!B94 &lt;&gt; "",Сотрудники!B94,"")</f>
        <v/>
      </c>
    </row>
    <row r="88" spans="1:2" s="1" customFormat="1" x14ac:dyDescent="0.25">
      <c r="A88" s="2" t="str">
        <f>IF(Сотрудники!A95&lt;&gt;"",Сотрудники!A95,"")</f>
        <v/>
      </c>
      <c r="B88" s="1" t="str">
        <f>IF(Сотрудники!B95 &lt;&gt; "",Сотрудники!B95,"")</f>
        <v/>
      </c>
    </row>
    <row r="89" spans="1:2" s="1" customFormat="1" x14ac:dyDescent="0.25">
      <c r="A89" s="2" t="str">
        <f>IF(Сотрудники!A96&lt;&gt;"",Сотрудники!A96,"")</f>
        <v/>
      </c>
      <c r="B89" s="1" t="str">
        <f>IF(Сотрудники!B96 &lt;&gt; "",Сотрудники!B96,"")</f>
        <v/>
      </c>
    </row>
    <row r="90" spans="1:2" s="1" customFormat="1" x14ac:dyDescent="0.25">
      <c r="A90" s="2" t="str">
        <f>IF(Сотрудники!A97&lt;&gt;"",Сотрудники!A97,"")</f>
        <v/>
      </c>
      <c r="B90" s="1" t="str">
        <f>IF(Сотрудники!B97 &lt;&gt; "",Сотрудники!B97,"")</f>
        <v/>
      </c>
    </row>
    <row r="91" spans="1:2" s="1" customFormat="1" x14ac:dyDescent="0.25">
      <c r="A91" s="2" t="str">
        <f>IF(Сотрудники!A98&lt;&gt;"",Сотрудники!A98,"")</f>
        <v/>
      </c>
      <c r="B91" s="1" t="str">
        <f>IF(Сотрудники!B98 &lt;&gt; "",Сотрудники!B98,"")</f>
        <v/>
      </c>
    </row>
    <row r="92" spans="1:2" s="1" customFormat="1" x14ac:dyDescent="0.25">
      <c r="A92" s="2" t="str">
        <f>IF(Сотрудники!A99&lt;&gt;"",Сотрудники!A99,"")</f>
        <v/>
      </c>
      <c r="B92" s="1" t="str">
        <f>IF(Сотрудники!B99 &lt;&gt; "",Сотрудники!B99,"")</f>
        <v/>
      </c>
    </row>
    <row r="93" spans="1:2" s="1" customFormat="1" x14ac:dyDescent="0.25">
      <c r="A93" s="2" t="str">
        <f>IF(Сотрудники!A100&lt;&gt;"",Сотрудники!A100,"")</f>
        <v/>
      </c>
      <c r="B93" s="1" t="str">
        <f>IF(Сотрудники!B100 &lt;&gt; "",Сотрудники!B100,"")</f>
        <v/>
      </c>
    </row>
    <row r="94" spans="1:2" s="1" customFormat="1" x14ac:dyDescent="0.25">
      <c r="A94" s="2" t="str">
        <f>IF(Сотрудники!A101&lt;&gt;"",Сотрудники!A101,"")</f>
        <v/>
      </c>
      <c r="B94" s="1" t="str">
        <f>IF(Сотрудники!B101 &lt;&gt; "",Сотрудники!B101,"")</f>
        <v/>
      </c>
    </row>
    <row r="95" spans="1:2" s="1" customFormat="1" x14ac:dyDescent="0.25">
      <c r="A95" s="2" t="str">
        <f>IF(Сотрудники!A102&lt;&gt;"",Сотрудники!A102,"")</f>
        <v/>
      </c>
      <c r="B95" s="1" t="str">
        <f>IF(Сотрудники!B102 &lt;&gt; "",Сотрудники!B102,"")</f>
        <v/>
      </c>
    </row>
    <row r="96" spans="1:2" s="1" customFormat="1" x14ac:dyDescent="0.25">
      <c r="A96" s="2" t="str">
        <f>IF(Сотрудники!A103&lt;&gt;"",Сотрудники!A103,"")</f>
        <v/>
      </c>
      <c r="B96" s="1" t="str">
        <f>IF(Сотрудники!B103 &lt;&gt; "",Сотрудники!B103,"")</f>
        <v/>
      </c>
    </row>
    <row r="97" spans="1:2" s="1" customFormat="1" x14ac:dyDescent="0.25">
      <c r="A97" s="2" t="str">
        <f>IF(Сотрудники!A104&lt;&gt;"",Сотрудники!A104,"")</f>
        <v/>
      </c>
      <c r="B97" s="1" t="str">
        <f>IF(Сотрудники!B104 &lt;&gt; "",Сотрудники!B104,"")</f>
        <v/>
      </c>
    </row>
    <row r="98" spans="1:2" s="1" customFormat="1" x14ac:dyDescent="0.25">
      <c r="A98" s="2" t="str">
        <f>IF(Сотрудники!A105&lt;&gt;"",Сотрудники!A105,"")</f>
        <v/>
      </c>
      <c r="B98" s="1" t="str">
        <f>IF(Сотрудники!B105 &lt;&gt; "",Сотрудники!B105,"")</f>
        <v/>
      </c>
    </row>
    <row r="99" spans="1:2" s="1" customFormat="1" x14ac:dyDescent="0.25">
      <c r="A99" s="2" t="str">
        <f>IF(Сотрудники!A106&lt;&gt;"",Сотрудники!A106,"")</f>
        <v/>
      </c>
      <c r="B99" s="1" t="str">
        <f>IF(Сотрудники!B106 &lt;&gt; "",Сотрудники!B106,"")</f>
        <v/>
      </c>
    </row>
    <row r="100" spans="1:2" s="1" customFormat="1" x14ac:dyDescent="0.25">
      <c r="A100" s="2" t="str">
        <f>IF(Сотрудники!A107&lt;&gt;"",Сотрудники!A107,"")</f>
        <v/>
      </c>
      <c r="B100" s="1" t="str">
        <f>IF(Сотрудники!B107 &lt;&gt; "",Сотрудники!B107,"")</f>
        <v/>
      </c>
    </row>
    <row r="101" spans="1:2" s="1" customFormat="1" x14ac:dyDescent="0.25">
      <c r="A101" s="2" t="str">
        <f>IF(Сотрудники!A108&lt;&gt;"",Сотрудники!A108,"")</f>
        <v/>
      </c>
      <c r="B101" s="1" t="str">
        <f>IF(Сотрудники!B108 &lt;&gt; "",Сотрудники!B108,"")</f>
        <v/>
      </c>
    </row>
    <row r="102" spans="1:2" s="1" customFormat="1" x14ac:dyDescent="0.25">
      <c r="A102" s="2" t="str">
        <f>IF(Сотрудники!A109&lt;&gt;"",Сотрудники!A109,"")</f>
        <v/>
      </c>
      <c r="B102" s="1" t="str">
        <f>IF(Сотрудники!B109 &lt;&gt; "",Сотрудники!B109,"")</f>
        <v/>
      </c>
    </row>
    <row r="103" spans="1:2" s="1" customFormat="1" x14ac:dyDescent="0.25">
      <c r="A103" s="2" t="str">
        <f>IF(Сотрудники!A110&lt;&gt;"",Сотрудники!A110,"")</f>
        <v/>
      </c>
      <c r="B103" s="1" t="str">
        <f>IF(Сотрудники!B110 &lt;&gt; "",Сотрудники!B110,"")</f>
        <v/>
      </c>
    </row>
    <row r="104" spans="1:2" s="1" customFormat="1" x14ac:dyDescent="0.25">
      <c r="A104" s="2" t="str">
        <f>IF(Сотрудники!A111&lt;&gt;"",Сотрудники!A111,"")</f>
        <v/>
      </c>
      <c r="B104" s="1" t="str">
        <f>IF(Сотрудники!B111 &lt;&gt; "",Сотрудники!B111,"")</f>
        <v/>
      </c>
    </row>
    <row r="105" spans="1:2" s="1" customFormat="1" x14ac:dyDescent="0.25">
      <c r="A105" s="2" t="str">
        <f>IF(Сотрудники!A112&lt;&gt;"",Сотрудники!A112,"")</f>
        <v/>
      </c>
      <c r="B105" s="1" t="str">
        <f>IF(Сотрудники!B112 &lt;&gt; "",Сотрудники!B112,"")</f>
        <v/>
      </c>
    </row>
    <row r="106" spans="1:2" s="1" customFormat="1" x14ac:dyDescent="0.25">
      <c r="A106" s="2" t="str">
        <f>IF(Сотрудники!A113&lt;&gt;"",Сотрудники!A113,"")</f>
        <v/>
      </c>
      <c r="B106" s="1" t="str">
        <f>IF(Сотрудники!B113 &lt;&gt; "",Сотрудники!B113,"")</f>
        <v/>
      </c>
    </row>
    <row r="107" spans="1:2" s="1" customFormat="1" x14ac:dyDescent="0.25">
      <c r="A107" s="2" t="str">
        <f>IF(Сотрудники!A114&lt;&gt;"",Сотрудники!A114,"")</f>
        <v/>
      </c>
      <c r="B107" s="1" t="str">
        <f>IF(Сотрудники!B114 &lt;&gt; "",Сотрудники!B114,"")</f>
        <v/>
      </c>
    </row>
    <row r="108" spans="1:2" s="1" customFormat="1" x14ac:dyDescent="0.25">
      <c r="A108" s="2" t="str">
        <f>IF(Сотрудники!A115&lt;&gt;"",Сотрудники!A115,"")</f>
        <v/>
      </c>
      <c r="B108" s="1" t="str">
        <f>IF(Сотрудники!B115 &lt;&gt; "",Сотрудники!B115,"")</f>
        <v/>
      </c>
    </row>
    <row r="109" spans="1:2" s="1" customFormat="1" x14ac:dyDescent="0.25">
      <c r="A109" s="2" t="str">
        <f>IF(Сотрудники!A116&lt;&gt;"",Сотрудники!A116,"")</f>
        <v/>
      </c>
      <c r="B109" s="1" t="str">
        <f>IF(Сотрудники!B116 &lt;&gt; "",Сотрудники!B116,"")</f>
        <v/>
      </c>
    </row>
    <row r="110" spans="1:2" s="1" customFormat="1" x14ac:dyDescent="0.25">
      <c r="A110" s="2" t="str">
        <f>IF(Сотрудники!A117&lt;&gt;"",Сотрудники!A117,"")</f>
        <v/>
      </c>
      <c r="B110" s="1" t="str">
        <f>IF(Сотрудники!B117 &lt;&gt; "",Сотрудники!B117,"")</f>
        <v/>
      </c>
    </row>
    <row r="111" spans="1:2" s="1" customFormat="1" x14ac:dyDescent="0.25">
      <c r="A111" s="2" t="str">
        <f>IF(Сотрудники!A118&lt;&gt;"",Сотрудники!A118,"")</f>
        <v/>
      </c>
      <c r="B111" s="1" t="str">
        <f>IF(Сотрудники!B118 &lt;&gt; "",Сотрудники!B118,"")</f>
        <v/>
      </c>
    </row>
    <row r="112" spans="1:2" s="1" customFormat="1" x14ac:dyDescent="0.25">
      <c r="A112" s="2" t="str">
        <f>IF(Сотрудники!A119&lt;&gt;"",Сотрудники!A119,"")</f>
        <v/>
      </c>
      <c r="B112" s="1" t="str">
        <f>IF(Сотрудники!B119 &lt;&gt; "",Сотрудники!B119,"")</f>
        <v/>
      </c>
    </row>
    <row r="113" spans="1:2" s="1" customFormat="1" x14ac:dyDescent="0.25">
      <c r="A113" s="2" t="str">
        <f>IF(Сотрудники!A120&lt;&gt;"",Сотрудники!A120,"")</f>
        <v/>
      </c>
      <c r="B113" s="1" t="str">
        <f>IF(Сотрудники!B120 &lt;&gt; "",Сотрудники!B120,"")</f>
        <v/>
      </c>
    </row>
    <row r="114" spans="1:2" s="1" customFormat="1" x14ac:dyDescent="0.25">
      <c r="A114" s="2" t="str">
        <f>IF(Сотрудники!A121&lt;&gt;"",Сотрудники!A121,"")</f>
        <v/>
      </c>
      <c r="B114" s="1" t="str">
        <f>IF(Сотрудники!B121 &lt;&gt; "",Сотрудники!B121,"")</f>
        <v/>
      </c>
    </row>
    <row r="115" spans="1:2" s="1" customFormat="1" x14ac:dyDescent="0.25">
      <c r="A115" s="2" t="str">
        <f>IF(Сотрудники!A122&lt;&gt;"",Сотрудники!A122,"")</f>
        <v/>
      </c>
      <c r="B115" s="1" t="str">
        <f>IF(Сотрудники!B122 &lt;&gt; "",Сотрудники!B122,"")</f>
        <v/>
      </c>
    </row>
    <row r="116" spans="1:2" s="1" customFormat="1" x14ac:dyDescent="0.25">
      <c r="A116" s="2" t="str">
        <f>IF(Сотрудники!A123&lt;&gt;"",Сотрудники!A123,"")</f>
        <v/>
      </c>
      <c r="B116" s="1" t="str">
        <f>IF(Сотрудники!B123 &lt;&gt; "",Сотрудники!B123,"")</f>
        <v/>
      </c>
    </row>
    <row r="117" spans="1:2" s="1" customFormat="1" x14ac:dyDescent="0.25">
      <c r="A117" s="2" t="str">
        <f>IF(Сотрудники!A124&lt;&gt;"",Сотрудники!A124,"")</f>
        <v/>
      </c>
      <c r="B117" s="1" t="str">
        <f>IF(Сотрудники!B124 &lt;&gt; "",Сотрудники!B124,"")</f>
        <v/>
      </c>
    </row>
    <row r="118" spans="1:2" s="1" customFormat="1" x14ac:dyDescent="0.25">
      <c r="A118" s="2" t="str">
        <f>IF(Сотрудники!A125&lt;&gt;"",Сотрудники!A125,"")</f>
        <v/>
      </c>
      <c r="B118" s="1" t="str">
        <f>IF(Сотрудники!B125 &lt;&gt; "",Сотрудники!B125,"")</f>
        <v/>
      </c>
    </row>
    <row r="119" spans="1:2" s="1" customFormat="1" x14ac:dyDescent="0.25">
      <c r="A119" s="2" t="str">
        <f>IF(Сотрудники!A126&lt;&gt;"",Сотрудники!A126,"")</f>
        <v/>
      </c>
      <c r="B119" s="1" t="str">
        <f>IF(Сотрудники!B126 &lt;&gt; "",Сотрудники!B126,"")</f>
        <v/>
      </c>
    </row>
    <row r="120" spans="1:2" s="1" customFormat="1" x14ac:dyDescent="0.25">
      <c r="A120" s="2" t="str">
        <f>IF(Сотрудники!A127&lt;&gt;"",Сотрудники!A127,"")</f>
        <v/>
      </c>
      <c r="B120" s="1" t="str">
        <f>IF(Сотрудники!B127 &lt;&gt; "",Сотрудники!B127,"")</f>
        <v/>
      </c>
    </row>
    <row r="121" spans="1:2" s="1" customFormat="1" x14ac:dyDescent="0.25">
      <c r="A121" s="2" t="str">
        <f>IF(Сотрудники!A128&lt;&gt;"",Сотрудники!A128,"")</f>
        <v/>
      </c>
      <c r="B121" s="1" t="str">
        <f>IF(Сотрудники!B128 &lt;&gt; "",Сотрудники!B128,"")</f>
        <v/>
      </c>
    </row>
    <row r="122" spans="1:2" s="1" customFormat="1" x14ac:dyDescent="0.25">
      <c r="A122" s="2" t="str">
        <f>IF(Сотрудники!A129&lt;&gt;"",Сотрудники!A129,"")</f>
        <v/>
      </c>
      <c r="B122" s="1" t="str">
        <f>IF(Сотрудники!B129 &lt;&gt; "",Сотрудники!B129,"")</f>
        <v/>
      </c>
    </row>
    <row r="123" spans="1:2" s="1" customFormat="1" x14ac:dyDescent="0.25">
      <c r="A123" s="2" t="str">
        <f>IF(Сотрудники!A130&lt;&gt;"",Сотрудники!A130,"")</f>
        <v/>
      </c>
      <c r="B123" s="1" t="str">
        <f>IF(Сотрудники!B130 &lt;&gt; "",Сотрудники!B130,"")</f>
        <v/>
      </c>
    </row>
    <row r="124" spans="1:2" s="1" customFormat="1" x14ac:dyDescent="0.25">
      <c r="A124" s="2" t="str">
        <f>IF(Сотрудники!A131&lt;&gt;"",Сотрудники!A131,"")</f>
        <v/>
      </c>
      <c r="B124" s="1" t="str">
        <f>IF(Сотрудники!B131 &lt;&gt; "",Сотрудники!B131,"")</f>
        <v/>
      </c>
    </row>
    <row r="125" spans="1:2" s="1" customFormat="1" x14ac:dyDescent="0.25">
      <c r="A125" s="2" t="str">
        <f>IF(Сотрудники!A132&lt;&gt;"",Сотрудники!A132,"")</f>
        <v/>
      </c>
      <c r="B125" s="1" t="str">
        <f>IF(Сотрудники!B132 &lt;&gt; "",Сотрудники!B132,"")</f>
        <v/>
      </c>
    </row>
    <row r="126" spans="1:2" s="1" customFormat="1" x14ac:dyDescent="0.25">
      <c r="A126" s="2" t="str">
        <f>IF(Сотрудники!A133&lt;&gt;"",Сотрудники!A133,"")</f>
        <v/>
      </c>
      <c r="B126" s="1" t="str">
        <f>IF(Сотрудники!B133 &lt;&gt; "",Сотрудники!B133,"")</f>
        <v/>
      </c>
    </row>
    <row r="127" spans="1:2" s="1" customFormat="1" x14ac:dyDescent="0.25">
      <c r="A127" s="2" t="str">
        <f>IF(Сотрудники!A134&lt;&gt;"",Сотрудники!A134,"")</f>
        <v/>
      </c>
      <c r="B127" s="1" t="str">
        <f>IF(Сотрудники!B134 &lt;&gt; "",Сотрудники!B134,"")</f>
        <v/>
      </c>
    </row>
    <row r="128" spans="1:2" s="1" customFormat="1" x14ac:dyDescent="0.25">
      <c r="A128" s="2" t="str">
        <f>IF(Сотрудники!A135&lt;&gt;"",Сотрудники!A135,"")</f>
        <v/>
      </c>
      <c r="B128" s="1" t="str">
        <f>IF(Сотрудники!B135 &lt;&gt; "",Сотрудники!B135,"")</f>
        <v/>
      </c>
    </row>
    <row r="129" spans="1:2" s="1" customFormat="1" x14ac:dyDescent="0.25">
      <c r="A129" s="2" t="str">
        <f>IF(Сотрудники!A136&lt;&gt;"",Сотрудники!A136,"")</f>
        <v/>
      </c>
      <c r="B129" s="1" t="str">
        <f>IF(Сотрудники!B136 &lt;&gt; "",Сотрудники!B136,"")</f>
        <v/>
      </c>
    </row>
    <row r="130" spans="1:2" s="1" customFormat="1" x14ac:dyDescent="0.25">
      <c r="A130" s="2" t="str">
        <f>IF(Сотрудники!A137&lt;&gt;"",Сотрудники!A137,"")</f>
        <v/>
      </c>
      <c r="B130" s="1" t="str">
        <f>IF(Сотрудники!B137 &lt;&gt; "",Сотрудники!B137,"")</f>
        <v/>
      </c>
    </row>
    <row r="131" spans="1:2" s="1" customFormat="1" x14ac:dyDescent="0.25">
      <c r="A131" s="2" t="str">
        <f>IF(Сотрудники!A138&lt;&gt;"",Сотрудники!A138,"")</f>
        <v/>
      </c>
      <c r="B131" s="1" t="str">
        <f>IF(Сотрудники!B138 &lt;&gt; "",Сотрудники!B138,"")</f>
        <v/>
      </c>
    </row>
    <row r="132" spans="1:2" s="1" customFormat="1" x14ac:dyDescent="0.25">
      <c r="A132" s="2" t="str">
        <f>IF(Сотрудники!A139&lt;&gt;"",Сотрудники!A139,"")</f>
        <v/>
      </c>
      <c r="B132" s="1" t="str">
        <f>IF(Сотрудники!B139 &lt;&gt; "",Сотрудники!B139,"")</f>
        <v/>
      </c>
    </row>
    <row r="133" spans="1:2" s="1" customFormat="1" x14ac:dyDescent="0.25">
      <c r="A133" s="2" t="str">
        <f>IF(Сотрудники!A140&lt;&gt;"",Сотрудники!A140,"")</f>
        <v/>
      </c>
      <c r="B133" s="1" t="str">
        <f>IF(Сотрудники!B140 &lt;&gt; "",Сотрудники!B140,"")</f>
        <v/>
      </c>
    </row>
    <row r="134" spans="1:2" s="1" customFormat="1" x14ac:dyDescent="0.25">
      <c r="A134" s="2" t="str">
        <f>IF(Сотрудники!A141&lt;&gt;"",Сотрудники!A141,"")</f>
        <v/>
      </c>
      <c r="B134" s="1" t="str">
        <f>IF(Сотрудники!B141 &lt;&gt; "",Сотрудники!B141,"")</f>
        <v/>
      </c>
    </row>
    <row r="135" spans="1:2" s="1" customFormat="1" x14ac:dyDescent="0.25">
      <c r="A135" s="2" t="str">
        <f>IF(Сотрудники!A142&lt;&gt;"",Сотрудники!A142,"")</f>
        <v/>
      </c>
      <c r="B135" s="1" t="str">
        <f>IF(Сотрудники!B142 &lt;&gt; "",Сотрудники!B142,"")</f>
        <v/>
      </c>
    </row>
    <row r="136" spans="1:2" s="1" customFormat="1" x14ac:dyDescent="0.25">
      <c r="A136" s="2" t="str">
        <f>IF(Сотрудники!A143&lt;&gt;"",Сотрудники!A143,"")</f>
        <v/>
      </c>
      <c r="B136" s="1" t="str">
        <f>IF(Сотрудники!B143 &lt;&gt; "",Сотрудники!B143,"")</f>
        <v/>
      </c>
    </row>
    <row r="137" spans="1:2" s="1" customFormat="1" x14ac:dyDescent="0.25">
      <c r="A137" s="2" t="str">
        <f>IF(Сотрудники!A144&lt;&gt;"",Сотрудники!A144,"")</f>
        <v/>
      </c>
      <c r="B137" s="1" t="str">
        <f>IF(Сотрудники!B144 &lt;&gt; "",Сотрудники!B144,"")</f>
        <v/>
      </c>
    </row>
    <row r="138" spans="1:2" s="1" customFormat="1" x14ac:dyDescent="0.25">
      <c r="A138" s="2" t="str">
        <f>IF(Сотрудники!A145&lt;&gt;"",Сотрудники!A145,"")</f>
        <v/>
      </c>
      <c r="B138" s="1" t="str">
        <f>IF(Сотрудники!B145 &lt;&gt; "",Сотрудники!B145,"")</f>
        <v/>
      </c>
    </row>
    <row r="139" spans="1:2" s="1" customFormat="1" x14ac:dyDescent="0.25">
      <c r="A139" s="2" t="str">
        <f>IF(Сотрудники!A146&lt;&gt;"",Сотрудники!A146,"")</f>
        <v/>
      </c>
      <c r="B139" s="1" t="str">
        <f>IF(Сотрудники!B146 &lt;&gt; "",Сотрудники!B146,"")</f>
        <v/>
      </c>
    </row>
    <row r="140" spans="1:2" s="1" customFormat="1" x14ac:dyDescent="0.25">
      <c r="A140" s="2" t="str">
        <f>IF(Сотрудники!A147&lt;&gt;"",Сотрудники!A147,"")</f>
        <v/>
      </c>
      <c r="B140" s="1" t="str">
        <f>IF(Сотрудники!B147 &lt;&gt; "",Сотрудники!B147,"")</f>
        <v/>
      </c>
    </row>
    <row r="141" spans="1:2" s="1" customFormat="1" x14ac:dyDescent="0.25">
      <c r="A141" s="2" t="str">
        <f>IF(Сотрудники!A148&lt;&gt;"",Сотрудники!A148,"")</f>
        <v/>
      </c>
      <c r="B141" s="1" t="str">
        <f>IF(Сотрудники!B148 &lt;&gt; "",Сотрудники!B148,"")</f>
        <v/>
      </c>
    </row>
    <row r="142" spans="1:2" s="1" customFormat="1" x14ac:dyDescent="0.25">
      <c r="A142" s="2" t="str">
        <f>IF(Сотрудники!A149&lt;&gt;"",Сотрудники!A149,"")</f>
        <v/>
      </c>
      <c r="B142" s="1" t="str">
        <f>IF(Сотрудники!B149 &lt;&gt; "",Сотрудники!B149,"")</f>
        <v/>
      </c>
    </row>
    <row r="143" spans="1:2" s="1" customFormat="1" x14ac:dyDescent="0.25">
      <c r="A143" s="2" t="str">
        <f>IF(Сотрудники!A150&lt;&gt;"",Сотрудники!A150,"")</f>
        <v/>
      </c>
      <c r="B143" s="1" t="str">
        <f>IF(Сотрудники!B150 &lt;&gt; "",Сотрудники!B150,"")</f>
        <v/>
      </c>
    </row>
    <row r="144" spans="1:2" s="1" customFormat="1" x14ac:dyDescent="0.25">
      <c r="A144" s="2" t="str">
        <f>IF(Сотрудники!A151&lt;&gt;"",Сотрудники!A151,"")</f>
        <v/>
      </c>
      <c r="B144" s="1" t="str">
        <f>IF(Сотрудники!B151 &lt;&gt; "",Сотрудники!B151,"")</f>
        <v/>
      </c>
    </row>
    <row r="145" spans="1:2" s="1" customFormat="1" x14ac:dyDescent="0.25">
      <c r="A145" s="2" t="str">
        <f>IF(Сотрудники!A152&lt;&gt;"",Сотрудники!A152,"")</f>
        <v/>
      </c>
      <c r="B145" s="1" t="str">
        <f>IF(Сотрудники!B152 &lt;&gt; "",Сотрудники!B152,"")</f>
        <v/>
      </c>
    </row>
    <row r="146" spans="1:2" s="1" customFormat="1" x14ac:dyDescent="0.25">
      <c r="A146" s="2" t="str">
        <f>IF(Сотрудники!A153&lt;&gt;"",Сотрудники!A153,"")</f>
        <v/>
      </c>
      <c r="B146" s="1" t="str">
        <f>IF(Сотрудники!B153 &lt;&gt; "",Сотрудники!B153,"")</f>
        <v/>
      </c>
    </row>
    <row r="147" spans="1:2" s="1" customFormat="1" x14ac:dyDescent="0.25">
      <c r="A147" s="2" t="str">
        <f>IF(Сотрудники!A154&lt;&gt;"",Сотрудники!A154,"")</f>
        <v/>
      </c>
      <c r="B147" s="1" t="str">
        <f>IF(Сотрудники!B154 &lt;&gt; "",Сотрудники!B154,"")</f>
        <v/>
      </c>
    </row>
    <row r="148" spans="1:2" s="1" customFormat="1" x14ac:dyDescent="0.25">
      <c r="A148" s="2" t="str">
        <f>IF(Сотрудники!A155&lt;&gt;"",Сотрудники!A155,"")</f>
        <v/>
      </c>
      <c r="B148" s="1" t="str">
        <f>IF(Сотрудники!B155 &lt;&gt; "",Сотрудники!B155,"")</f>
        <v/>
      </c>
    </row>
    <row r="149" spans="1:2" s="1" customFormat="1" x14ac:dyDescent="0.25">
      <c r="A149" s="2" t="str">
        <f>IF(Сотрудники!A156&lt;&gt;"",Сотрудники!A156,"")</f>
        <v/>
      </c>
      <c r="B149" s="1" t="str">
        <f>IF(Сотрудники!B156 &lt;&gt; "",Сотрудники!B156,"")</f>
        <v/>
      </c>
    </row>
    <row r="150" spans="1:2" s="1" customFormat="1" x14ac:dyDescent="0.25">
      <c r="A150" s="2" t="str">
        <f>IF(Сотрудники!A157&lt;&gt;"",Сотрудники!A157,"")</f>
        <v/>
      </c>
      <c r="B150" s="1" t="str">
        <f>IF(Сотрудники!B157 &lt;&gt; "",Сотрудники!B157,"")</f>
        <v/>
      </c>
    </row>
    <row r="151" spans="1:2" s="1" customFormat="1" x14ac:dyDescent="0.25">
      <c r="A151" s="2" t="str">
        <f>IF(Сотрудники!A158&lt;&gt;"",Сотрудники!A158,"")</f>
        <v/>
      </c>
      <c r="B151" s="1" t="str">
        <f>IF(Сотрудники!B158 &lt;&gt; "",Сотрудники!B158,"")</f>
        <v/>
      </c>
    </row>
    <row r="152" spans="1:2" s="1" customFormat="1" x14ac:dyDescent="0.25">
      <c r="A152" s="2" t="str">
        <f>IF(Сотрудники!A159&lt;&gt;"",Сотрудники!A159,"")</f>
        <v/>
      </c>
      <c r="B152" s="1" t="str">
        <f>IF(Сотрудники!B159 &lt;&gt; "",Сотрудники!B159,"")</f>
        <v/>
      </c>
    </row>
    <row r="153" spans="1:2" s="1" customFormat="1" x14ac:dyDescent="0.25">
      <c r="A153" s="2" t="str">
        <f>IF(Сотрудники!A160&lt;&gt;"",Сотрудники!A160,"")</f>
        <v/>
      </c>
      <c r="B153" s="1" t="str">
        <f>IF(Сотрудники!B160 &lt;&gt; "",Сотрудники!B160,"")</f>
        <v/>
      </c>
    </row>
    <row r="154" spans="1:2" s="1" customFormat="1" x14ac:dyDescent="0.25">
      <c r="A154" s="2" t="str">
        <f>IF(Сотрудники!A161&lt;&gt;"",Сотрудники!A161,"")</f>
        <v/>
      </c>
      <c r="B154" s="1" t="str">
        <f>IF(Сотрудники!B161 &lt;&gt; "",Сотрудники!B161,"")</f>
        <v/>
      </c>
    </row>
    <row r="155" spans="1:2" s="1" customFormat="1" x14ac:dyDescent="0.25">
      <c r="A155" s="2" t="str">
        <f>IF(Сотрудники!A162&lt;&gt;"",Сотрудники!A162,"")</f>
        <v/>
      </c>
      <c r="B155" s="1" t="str">
        <f>IF(Сотрудники!B162 &lt;&gt; "",Сотрудники!B162,"")</f>
        <v/>
      </c>
    </row>
    <row r="156" spans="1:2" s="1" customFormat="1" x14ac:dyDescent="0.25">
      <c r="A156" s="2" t="str">
        <f>IF(Сотрудники!A163&lt;&gt;"",Сотрудники!A163,"")</f>
        <v/>
      </c>
      <c r="B156" s="1" t="str">
        <f>IF(Сотрудники!B163 &lt;&gt; "",Сотрудники!B163,"")</f>
        <v/>
      </c>
    </row>
    <row r="157" spans="1:2" s="1" customFormat="1" x14ac:dyDescent="0.25">
      <c r="A157" s="2" t="str">
        <f>IF(Сотрудники!A164&lt;&gt;"",Сотрудники!A164,"")</f>
        <v/>
      </c>
      <c r="B157" s="1" t="str">
        <f>IF(Сотрудники!B164 &lt;&gt; "",Сотрудники!B164,"")</f>
        <v/>
      </c>
    </row>
    <row r="158" spans="1:2" s="1" customFormat="1" x14ac:dyDescent="0.25">
      <c r="A158" s="2" t="str">
        <f>IF(Сотрудники!A165&lt;&gt;"",Сотрудники!A165,"")</f>
        <v/>
      </c>
      <c r="B158" s="1" t="str">
        <f>IF(Сотрудники!B165 &lt;&gt; "",Сотрудники!B165,"")</f>
        <v/>
      </c>
    </row>
    <row r="159" spans="1:2" s="1" customFormat="1" x14ac:dyDescent="0.25">
      <c r="A159" s="2" t="str">
        <f>IF(Сотрудники!A166&lt;&gt;"",Сотрудники!A166,"")</f>
        <v/>
      </c>
      <c r="B159" s="1" t="str">
        <f>IF(Сотрудники!B166 &lt;&gt; "",Сотрудники!B166,"")</f>
        <v/>
      </c>
    </row>
    <row r="160" spans="1:2" s="1" customFormat="1" x14ac:dyDescent="0.25">
      <c r="A160" s="2" t="str">
        <f>IF(Сотрудники!A167&lt;&gt;"",Сотрудники!A167,"")</f>
        <v/>
      </c>
      <c r="B160" s="1" t="str">
        <f>IF(Сотрудники!B167 &lt;&gt; "",Сотрудники!B167,"")</f>
        <v/>
      </c>
    </row>
    <row r="161" spans="1:2" s="1" customFormat="1" x14ac:dyDescent="0.25">
      <c r="A161" s="2" t="str">
        <f>IF(Сотрудники!A168&lt;&gt;"",Сотрудники!A168,"")</f>
        <v/>
      </c>
      <c r="B161" s="1" t="str">
        <f>IF(Сотрудники!B168 &lt;&gt; "",Сотрудники!B168,"")</f>
        <v/>
      </c>
    </row>
    <row r="162" spans="1:2" s="1" customFormat="1" x14ac:dyDescent="0.25">
      <c r="A162" s="2" t="str">
        <f>IF(Сотрудники!A169&lt;&gt;"",Сотрудники!A169,"")</f>
        <v/>
      </c>
      <c r="B162" s="1" t="str">
        <f>IF(Сотрудники!B169 &lt;&gt; "",Сотрудники!B169,"")</f>
        <v/>
      </c>
    </row>
    <row r="163" spans="1:2" s="1" customFormat="1" x14ac:dyDescent="0.25">
      <c r="A163" s="2" t="str">
        <f>IF(Сотрудники!A170&lt;&gt;"",Сотрудники!A170,"")</f>
        <v/>
      </c>
      <c r="B163" s="1" t="str">
        <f>IF(Сотрудники!B170 &lt;&gt; "",Сотрудники!B170,"")</f>
        <v/>
      </c>
    </row>
    <row r="164" spans="1:2" s="1" customFormat="1" x14ac:dyDescent="0.25">
      <c r="A164" s="2" t="str">
        <f>IF(Сотрудники!A171&lt;&gt;"",Сотрудники!A171,"")</f>
        <v/>
      </c>
      <c r="B164" s="1" t="str">
        <f>IF(Сотрудники!B171 &lt;&gt; "",Сотрудники!B171,"")</f>
        <v/>
      </c>
    </row>
    <row r="165" spans="1:2" s="1" customFormat="1" x14ac:dyDescent="0.25">
      <c r="A165" s="2" t="str">
        <f>IF(Сотрудники!A172&lt;&gt;"",Сотрудники!A172,"")</f>
        <v/>
      </c>
      <c r="B165" s="1" t="str">
        <f>IF(Сотрудники!B172 &lt;&gt; "",Сотрудники!B172,"")</f>
        <v/>
      </c>
    </row>
    <row r="166" spans="1:2" s="1" customFormat="1" x14ac:dyDescent="0.25">
      <c r="A166" s="2" t="str">
        <f>IF(Сотрудники!A173&lt;&gt;"",Сотрудники!A173,"")</f>
        <v/>
      </c>
      <c r="B166" s="1" t="str">
        <f>IF(Сотрудники!B173 &lt;&gt; "",Сотрудники!B173,"")</f>
        <v/>
      </c>
    </row>
    <row r="167" spans="1:2" s="1" customFormat="1" x14ac:dyDescent="0.25">
      <c r="A167" s="2" t="str">
        <f>IF(Сотрудники!A174&lt;&gt;"",Сотрудники!A174,"")</f>
        <v/>
      </c>
      <c r="B167" s="1" t="str">
        <f>IF(Сотрудники!B174 &lt;&gt; "",Сотрудники!B174,"")</f>
        <v/>
      </c>
    </row>
    <row r="168" spans="1:2" s="1" customFormat="1" x14ac:dyDescent="0.25">
      <c r="A168" s="2" t="str">
        <f>IF(Сотрудники!A175&lt;&gt;"",Сотрудники!A175,"")</f>
        <v/>
      </c>
      <c r="B168" s="1" t="str">
        <f>IF(Сотрудники!B175 &lt;&gt; "",Сотрудники!B175,"")</f>
        <v/>
      </c>
    </row>
    <row r="169" spans="1:2" s="1" customFormat="1" x14ac:dyDescent="0.25">
      <c r="A169" s="2" t="str">
        <f>IF(Сотрудники!A176&lt;&gt;"",Сотрудники!A176,"")</f>
        <v/>
      </c>
      <c r="B169" s="1" t="str">
        <f>IF(Сотрудники!B176 &lt;&gt; "",Сотрудники!B176,"")</f>
        <v/>
      </c>
    </row>
    <row r="170" spans="1:2" s="1" customFormat="1" x14ac:dyDescent="0.25">
      <c r="A170" s="2" t="str">
        <f>IF(Сотрудники!A177&lt;&gt;"",Сотрудники!A177,"")</f>
        <v/>
      </c>
      <c r="B170" s="1" t="str">
        <f>IF(Сотрудники!B177 &lt;&gt; "",Сотрудники!B177,"")</f>
        <v/>
      </c>
    </row>
    <row r="171" spans="1:2" s="1" customFormat="1" x14ac:dyDescent="0.25">
      <c r="A171" s="2" t="str">
        <f>IF(Сотрудники!A178&lt;&gt;"",Сотрудники!A178,"")</f>
        <v/>
      </c>
      <c r="B171" s="1" t="str">
        <f>IF(Сотрудники!B178 &lt;&gt; "",Сотрудники!B178,"")</f>
        <v/>
      </c>
    </row>
    <row r="172" spans="1:2" s="1" customFormat="1" x14ac:dyDescent="0.25">
      <c r="A172" s="2" t="str">
        <f>IF(Сотрудники!A179&lt;&gt;"",Сотрудники!A179,"")</f>
        <v/>
      </c>
      <c r="B172" s="1" t="str">
        <f>IF(Сотрудники!B179 &lt;&gt; "",Сотрудники!B179,"")</f>
        <v/>
      </c>
    </row>
    <row r="173" spans="1:2" s="1" customFormat="1" x14ac:dyDescent="0.25">
      <c r="A173" s="2" t="str">
        <f>IF(Сотрудники!A180&lt;&gt;"",Сотрудники!A180,"")</f>
        <v/>
      </c>
      <c r="B173" s="1" t="str">
        <f>IF(Сотрудники!B180 &lt;&gt; "",Сотрудники!B180,"")</f>
        <v/>
      </c>
    </row>
    <row r="174" spans="1:2" s="1" customFormat="1" x14ac:dyDescent="0.25">
      <c r="A174" s="2" t="str">
        <f>IF(Сотрудники!A181&lt;&gt;"",Сотрудники!A181,"")</f>
        <v/>
      </c>
      <c r="B174" s="1" t="str">
        <f>IF(Сотрудники!B181 &lt;&gt; "",Сотрудники!B181,"")</f>
        <v/>
      </c>
    </row>
    <row r="175" spans="1:2" s="1" customFormat="1" x14ac:dyDescent="0.25">
      <c r="A175" s="2" t="str">
        <f>IF(Сотрудники!A182&lt;&gt;"",Сотрудники!A182,"")</f>
        <v/>
      </c>
      <c r="B175" s="1" t="str">
        <f>IF(Сотрудники!B182 &lt;&gt; "",Сотрудники!B182,"")</f>
        <v/>
      </c>
    </row>
    <row r="176" spans="1:2" s="1" customFormat="1" x14ac:dyDescent="0.25">
      <c r="A176" s="2" t="str">
        <f>IF(Сотрудники!A183&lt;&gt;"",Сотрудники!A183,"")</f>
        <v/>
      </c>
      <c r="B176" s="1" t="str">
        <f>IF(Сотрудники!B183 &lt;&gt; "",Сотрудники!B183,"")</f>
        <v/>
      </c>
    </row>
    <row r="177" spans="1:2" s="1" customFormat="1" x14ac:dyDescent="0.25">
      <c r="A177" s="2" t="str">
        <f>IF(Сотрудники!A184&lt;&gt;"",Сотрудники!A184,"")</f>
        <v/>
      </c>
      <c r="B177" s="1" t="str">
        <f>IF(Сотрудники!B184 &lt;&gt; "",Сотрудники!B184,"")</f>
        <v/>
      </c>
    </row>
    <row r="178" spans="1:2" s="1" customFormat="1" x14ac:dyDescent="0.25">
      <c r="A178" s="2" t="str">
        <f>IF(Сотрудники!A185&lt;&gt;"",Сотрудники!A185,"")</f>
        <v/>
      </c>
      <c r="B178" s="1" t="str">
        <f>IF(Сотрудники!B185 &lt;&gt; "",Сотрудники!B185,"")</f>
        <v/>
      </c>
    </row>
    <row r="179" spans="1:2" s="1" customFormat="1" x14ac:dyDescent="0.25">
      <c r="A179" s="2" t="str">
        <f>IF(Сотрудники!A186&lt;&gt;"",Сотрудники!A186,"")</f>
        <v/>
      </c>
      <c r="B179" s="1" t="str">
        <f>IF(Сотрудники!B186 &lt;&gt; "",Сотрудники!B186,"")</f>
        <v/>
      </c>
    </row>
    <row r="180" spans="1:2" s="1" customFormat="1" x14ac:dyDescent="0.25">
      <c r="A180" s="2" t="str">
        <f>IF(Сотрудники!A187&lt;&gt;"",Сотрудники!A187,"")</f>
        <v/>
      </c>
      <c r="B180" s="1" t="str">
        <f>IF(Сотрудники!B187 &lt;&gt; "",Сотрудники!B187,"")</f>
        <v/>
      </c>
    </row>
    <row r="181" spans="1:2" s="1" customFormat="1" x14ac:dyDescent="0.25">
      <c r="A181" s="2" t="str">
        <f>IF(Сотрудники!A188&lt;&gt;"",Сотрудники!A188,"")</f>
        <v/>
      </c>
      <c r="B181" s="1" t="str">
        <f>IF(Сотрудники!B188 &lt;&gt; "",Сотрудники!B188,"")</f>
        <v/>
      </c>
    </row>
    <row r="182" spans="1:2" s="1" customFormat="1" x14ac:dyDescent="0.25">
      <c r="A182" s="2" t="str">
        <f>IF(Сотрудники!A189&lt;&gt;"",Сотрудники!A189,"")</f>
        <v/>
      </c>
      <c r="B182" s="1" t="str">
        <f>IF(Сотрудники!B189 &lt;&gt; "",Сотрудники!B189,"")</f>
        <v/>
      </c>
    </row>
    <row r="183" spans="1:2" s="1" customFormat="1" x14ac:dyDescent="0.25">
      <c r="A183" s="2" t="str">
        <f>IF(Сотрудники!A190&lt;&gt;"",Сотрудники!A190,"")</f>
        <v/>
      </c>
      <c r="B183" s="1" t="str">
        <f>IF(Сотрудники!B190 &lt;&gt; "",Сотрудники!B190,"")</f>
        <v/>
      </c>
    </row>
    <row r="184" spans="1:2" s="1" customFormat="1" x14ac:dyDescent="0.25">
      <c r="A184" s="2" t="str">
        <f>IF(Сотрудники!A191&lt;&gt;"",Сотрудники!A191,"")</f>
        <v/>
      </c>
      <c r="B184" s="1" t="str">
        <f>IF(Сотрудники!B191 &lt;&gt; "",Сотрудники!B191,"")</f>
        <v/>
      </c>
    </row>
    <row r="185" spans="1:2" s="1" customFormat="1" x14ac:dyDescent="0.25">
      <c r="A185" s="2" t="str">
        <f>IF(Сотрудники!A192&lt;&gt;"",Сотрудники!A192,"")</f>
        <v/>
      </c>
      <c r="B185" s="1" t="str">
        <f>IF(Сотрудники!B192 &lt;&gt; "",Сотрудники!B192,"")</f>
        <v/>
      </c>
    </row>
    <row r="186" spans="1:2" s="1" customFormat="1" x14ac:dyDescent="0.25">
      <c r="A186" s="2" t="str">
        <f>IF(Сотрудники!A193&lt;&gt;"",Сотрудники!A193,"")</f>
        <v/>
      </c>
      <c r="B186" s="1" t="str">
        <f>IF(Сотрудники!B193 &lt;&gt; "",Сотрудники!B193,"")</f>
        <v/>
      </c>
    </row>
    <row r="187" spans="1:2" s="1" customFormat="1" x14ac:dyDescent="0.25">
      <c r="A187" s="2" t="str">
        <f>IF(Сотрудники!A194&lt;&gt;"",Сотрудники!A194,"")</f>
        <v/>
      </c>
      <c r="B187" s="1" t="str">
        <f>IF(Сотрудники!B194 &lt;&gt; "",Сотрудники!B194,"")</f>
        <v/>
      </c>
    </row>
    <row r="188" spans="1:2" s="1" customFormat="1" x14ac:dyDescent="0.25">
      <c r="A188" s="2" t="str">
        <f>IF(Сотрудники!A195&lt;&gt;"",Сотрудники!A195,"")</f>
        <v/>
      </c>
      <c r="B188" s="1" t="str">
        <f>IF(Сотрудники!B195 &lt;&gt; "",Сотрудники!B195,"")</f>
        <v/>
      </c>
    </row>
    <row r="189" spans="1:2" s="1" customFormat="1" x14ac:dyDescent="0.25">
      <c r="A189" s="2" t="str">
        <f>IF(Сотрудники!A196&lt;&gt;"",Сотрудники!A196,"")</f>
        <v/>
      </c>
      <c r="B189" s="1" t="str">
        <f>IF(Сотрудники!B196 &lt;&gt; "",Сотрудники!B196,"")</f>
        <v/>
      </c>
    </row>
    <row r="190" spans="1:2" s="1" customFormat="1" x14ac:dyDescent="0.25">
      <c r="A190" s="2" t="str">
        <f>IF(Сотрудники!A197&lt;&gt;"",Сотрудники!A197,"")</f>
        <v/>
      </c>
      <c r="B190" s="1" t="str">
        <f>IF(Сотрудники!B197 &lt;&gt; "",Сотрудники!B197,"")</f>
        <v/>
      </c>
    </row>
    <row r="191" spans="1:2" s="1" customFormat="1" x14ac:dyDescent="0.25">
      <c r="A191" s="2" t="str">
        <f>IF(Сотрудники!A198&lt;&gt;"",Сотрудники!A198,"")</f>
        <v/>
      </c>
      <c r="B191" s="1" t="str">
        <f>IF(Сотрудники!B198 &lt;&gt; "",Сотрудники!B198,"")</f>
        <v/>
      </c>
    </row>
    <row r="192" spans="1:2" s="1" customFormat="1" x14ac:dyDescent="0.25">
      <c r="A192" s="2" t="str">
        <f>IF(Сотрудники!A199&lt;&gt;"",Сотрудники!A199,"")</f>
        <v/>
      </c>
      <c r="B192" s="1" t="str">
        <f>IF(Сотрудники!B199 &lt;&gt; "",Сотрудники!B199,"")</f>
        <v/>
      </c>
    </row>
    <row r="193" spans="1:2" s="1" customFormat="1" x14ac:dyDescent="0.25">
      <c r="A193" s="2" t="str">
        <f>IF(Сотрудники!A200&lt;&gt;"",Сотрудники!A200,"")</f>
        <v/>
      </c>
      <c r="B193" s="1" t="str">
        <f>IF(Сотрудники!B200 &lt;&gt; "",Сотрудники!B200,"")</f>
        <v/>
      </c>
    </row>
    <row r="194" spans="1:2" s="1" customFormat="1" x14ac:dyDescent="0.25">
      <c r="A194" s="2" t="str">
        <f>IF(Сотрудники!A201&lt;&gt;"",Сотрудники!A201,"")</f>
        <v/>
      </c>
      <c r="B194" s="1" t="str">
        <f>IF(Сотрудники!B201 &lt;&gt; "",Сотрудники!B201,"")</f>
        <v/>
      </c>
    </row>
    <row r="195" spans="1:2" s="1" customFormat="1" x14ac:dyDescent="0.25">
      <c r="A195" s="2" t="str">
        <f>IF(Сотрудники!A202&lt;&gt;"",Сотрудники!A202,"")</f>
        <v/>
      </c>
      <c r="B195" s="1" t="str">
        <f>IF(Сотрудники!B202 &lt;&gt; "",Сотрудники!B202,"")</f>
        <v/>
      </c>
    </row>
    <row r="196" spans="1:2" s="1" customFormat="1" x14ac:dyDescent="0.25">
      <c r="A196" s="2" t="str">
        <f>IF(Сотрудники!A203&lt;&gt;"",Сотрудники!A203,"")</f>
        <v/>
      </c>
      <c r="B196" s="1" t="str">
        <f>IF(Сотрудники!B203 &lt;&gt; "",Сотрудники!B203,"")</f>
        <v/>
      </c>
    </row>
    <row r="197" spans="1:2" s="1" customFormat="1" x14ac:dyDescent="0.25">
      <c r="A197" s="2" t="str">
        <f>IF(Сотрудники!A204&lt;&gt;"",Сотрудники!A204,"")</f>
        <v/>
      </c>
      <c r="B197" s="1" t="str">
        <f>IF(Сотрудники!B204 &lt;&gt; "",Сотрудники!B204,"")</f>
        <v/>
      </c>
    </row>
    <row r="198" spans="1:2" s="1" customFormat="1" x14ac:dyDescent="0.25">
      <c r="A198" s="2" t="str">
        <f>IF(Сотрудники!A205&lt;&gt;"",Сотрудники!A205,"")</f>
        <v/>
      </c>
      <c r="B198" s="1" t="str">
        <f>IF(Сотрудники!B205 &lt;&gt; "",Сотрудники!B205,"")</f>
        <v/>
      </c>
    </row>
    <row r="199" spans="1:2" s="1" customFormat="1" x14ac:dyDescent="0.25">
      <c r="A199" s="2" t="str">
        <f>IF(Сотрудники!A206&lt;&gt;"",Сотрудники!A206,"")</f>
        <v/>
      </c>
      <c r="B199" s="1" t="str">
        <f>IF(Сотрудники!B206 &lt;&gt; "",Сотрудники!B206,"")</f>
        <v/>
      </c>
    </row>
    <row r="200" spans="1:2" s="1" customFormat="1" x14ac:dyDescent="0.25">
      <c r="A200" s="2" t="str">
        <f>IF(Сотрудники!A207&lt;&gt;"",Сотрудники!A207,"")</f>
        <v/>
      </c>
      <c r="B200" s="1" t="str">
        <f>IF(Сотрудники!B207 &lt;&gt; "",Сотрудники!B207,"")</f>
        <v/>
      </c>
    </row>
    <row r="201" spans="1:2" s="1" customFormat="1" x14ac:dyDescent="0.25">
      <c r="A201" s="2" t="str">
        <f>IF(Сотрудники!A208&lt;&gt;"",Сотрудники!A208,"")</f>
        <v/>
      </c>
      <c r="B201" s="1" t="str">
        <f>IF(Сотрудники!B208 &lt;&gt; "",Сотрудники!B208,"")</f>
        <v/>
      </c>
    </row>
    <row r="202" spans="1:2" s="1" customFormat="1" x14ac:dyDescent="0.25">
      <c r="A202" s="2" t="str">
        <f>IF(Сотрудники!A209&lt;&gt;"",Сотрудники!A209,"")</f>
        <v/>
      </c>
      <c r="B202" s="1" t="str">
        <f>IF(Сотрудники!B209 &lt;&gt; "",Сотрудники!B209,"")</f>
        <v/>
      </c>
    </row>
    <row r="203" spans="1:2" s="1" customFormat="1" x14ac:dyDescent="0.25">
      <c r="A203" s="2" t="str">
        <f>IF(Сотрудники!A210&lt;&gt;"",Сотрудники!A210,"")</f>
        <v/>
      </c>
      <c r="B203" s="1" t="str">
        <f>IF(Сотрудники!B210 &lt;&gt; "",Сотрудники!B210,"")</f>
        <v/>
      </c>
    </row>
    <row r="204" spans="1:2" s="1" customFormat="1" x14ac:dyDescent="0.25">
      <c r="A204" s="2" t="str">
        <f>IF(Сотрудники!A211&lt;&gt;"",Сотрудники!A211,"")</f>
        <v/>
      </c>
      <c r="B204" s="1" t="str">
        <f>IF(Сотрудники!B211 &lt;&gt; "",Сотрудники!B211,"")</f>
        <v/>
      </c>
    </row>
    <row r="205" spans="1:2" s="1" customFormat="1" x14ac:dyDescent="0.25">
      <c r="A205" s="2" t="str">
        <f>IF(Сотрудники!A212&lt;&gt;"",Сотрудники!A212,"")</f>
        <v/>
      </c>
      <c r="B205" s="1" t="str">
        <f>IF(Сотрудники!B212 &lt;&gt; "",Сотрудники!B212,"")</f>
        <v/>
      </c>
    </row>
    <row r="206" spans="1:2" s="1" customFormat="1" x14ac:dyDescent="0.25">
      <c r="A206" s="2" t="str">
        <f>IF(Сотрудники!A213&lt;&gt;"",Сотрудники!A213,"")</f>
        <v/>
      </c>
      <c r="B206" s="1" t="str">
        <f>IF(Сотрудники!B213 &lt;&gt; "",Сотрудники!B213,"")</f>
        <v/>
      </c>
    </row>
    <row r="207" spans="1:2" s="1" customFormat="1" x14ac:dyDescent="0.25">
      <c r="A207" s="2" t="str">
        <f>IF(Сотрудники!A214&lt;&gt;"",Сотрудники!A214,"")</f>
        <v/>
      </c>
      <c r="B207" s="1" t="str">
        <f>IF(Сотрудники!B214 &lt;&gt; "",Сотрудники!B214,"")</f>
        <v/>
      </c>
    </row>
    <row r="208" spans="1:2" s="1" customFormat="1" x14ac:dyDescent="0.25">
      <c r="A208" s="2" t="str">
        <f>IF(Сотрудники!A215&lt;&gt;"",Сотрудники!A215,"")</f>
        <v/>
      </c>
      <c r="B208" s="1" t="str">
        <f>IF(Сотрудники!B215 &lt;&gt; "",Сотрудники!B215,"")</f>
        <v/>
      </c>
    </row>
    <row r="209" spans="1:2" s="1" customFormat="1" x14ac:dyDescent="0.25">
      <c r="A209" s="2" t="str">
        <f>IF(Сотрудники!A216&lt;&gt;"",Сотрудники!A216,"")</f>
        <v/>
      </c>
      <c r="B209" s="1" t="str">
        <f>IF(Сотрудники!B216 &lt;&gt; "",Сотрудники!B216,"")</f>
        <v/>
      </c>
    </row>
    <row r="210" spans="1:2" s="1" customFormat="1" x14ac:dyDescent="0.25">
      <c r="A210" s="2" t="str">
        <f>IF(Сотрудники!A217&lt;&gt;"",Сотрудники!A217,"")</f>
        <v/>
      </c>
      <c r="B210" s="1" t="str">
        <f>IF(Сотрудники!B217 &lt;&gt; "",Сотрудники!B217,"")</f>
        <v/>
      </c>
    </row>
    <row r="211" spans="1:2" s="1" customFormat="1" x14ac:dyDescent="0.25">
      <c r="A211" s="2" t="str">
        <f>IF(Сотрудники!A218&lt;&gt;"",Сотрудники!A218,"")</f>
        <v/>
      </c>
      <c r="B211" s="1" t="str">
        <f>IF(Сотрудники!B218 &lt;&gt; "",Сотрудники!B218,"")</f>
        <v/>
      </c>
    </row>
    <row r="212" spans="1:2" s="1" customFormat="1" x14ac:dyDescent="0.25">
      <c r="A212" s="2" t="str">
        <f>IF(Сотрудники!A219&lt;&gt;"",Сотрудники!A219,"")</f>
        <v/>
      </c>
      <c r="B212" s="1" t="str">
        <f>IF(Сотрудники!B219 &lt;&gt; "",Сотрудники!B219,"")</f>
        <v/>
      </c>
    </row>
    <row r="213" spans="1:2" s="1" customFormat="1" x14ac:dyDescent="0.25">
      <c r="A213" s="2" t="str">
        <f>IF(Сотрудники!A220&lt;&gt;"",Сотрудники!A220,"")</f>
        <v/>
      </c>
      <c r="B213" s="1" t="str">
        <f>IF(Сотрудники!B220 &lt;&gt; "",Сотрудники!B220,"")</f>
        <v/>
      </c>
    </row>
    <row r="214" spans="1:2" s="1" customFormat="1" x14ac:dyDescent="0.25">
      <c r="A214" s="2" t="str">
        <f>IF(Сотрудники!A221&lt;&gt;"",Сотрудники!A221,"")</f>
        <v/>
      </c>
      <c r="B214" s="1" t="str">
        <f>IF(Сотрудники!B221 &lt;&gt; "",Сотрудники!B221,"")</f>
        <v/>
      </c>
    </row>
    <row r="215" spans="1:2" s="1" customFormat="1" x14ac:dyDescent="0.25">
      <c r="A215" s="2" t="str">
        <f>IF(Сотрудники!A222&lt;&gt;"",Сотрудники!A222,"")</f>
        <v/>
      </c>
      <c r="B215" s="1" t="str">
        <f>IF(Сотрудники!B222 &lt;&gt; "",Сотрудники!B222,"")</f>
        <v/>
      </c>
    </row>
    <row r="216" spans="1:2" s="1" customFormat="1" x14ac:dyDescent="0.25">
      <c r="A216" s="2" t="str">
        <f>IF(Сотрудники!A223&lt;&gt;"",Сотрудники!A223,"")</f>
        <v/>
      </c>
      <c r="B216" s="1" t="str">
        <f>IF(Сотрудники!B223 &lt;&gt; "",Сотрудники!B223,"")</f>
        <v/>
      </c>
    </row>
    <row r="217" spans="1:2" s="1" customFormat="1" x14ac:dyDescent="0.25">
      <c r="A217" s="2" t="str">
        <f>IF(Сотрудники!A224&lt;&gt;"",Сотрудники!A224,"")</f>
        <v/>
      </c>
      <c r="B217" s="1" t="str">
        <f>IF(Сотрудники!B224 &lt;&gt; "",Сотрудники!B224,"")</f>
        <v/>
      </c>
    </row>
    <row r="218" spans="1:2" s="1" customFormat="1" x14ac:dyDescent="0.25">
      <c r="A218" s="2" t="str">
        <f>IF(Сотрудники!A225&lt;&gt;"",Сотрудники!A225,"")</f>
        <v/>
      </c>
      <c r="B218" s="1" t="str">
        <f>IF(Сотрудники!B225 &lt;&gt; "",Сотрудники!B225,"")</f>
        <v/>
      </c>
    </row>
    <row r="219" spans="1:2" s="1" customFormat="1" x14ac:dyDescent="0.25">
      <c r="A219" s="2" t="str">
        <f>IF(Сотрудники!A226&lt;&gt;"",Сотрудники!A226,"")</f>
        <v/>
      </c>
      <c r="B219" s="1" t="str">
        <f>IF(Сотрудники!B226 &lt;&gt; "",Сотрудники!B226,"")</f>
        <v/>
      </c>
    </row>
    <row r="220" spans="1:2" s="1" customFormat="1" x14ac:dyDescent="0.25">
      <c r="A220" s="2" t="str">
        <f>IF(Сотрудники!A227&lt;&gt;"",Сотрудники!A227,"")</f>
        <v/>
      </c>
      <c r="B220" s="1" t="str">
        <f>IF(Сотрудники!B227 &lt;&gt; "",Сотрудники!B227,"")</f>
        <v/>
      </c>
    </row>
    <row r="221" spans="1:2" s="1" customFormat="1" x14ac:dyDescent="0.25">
      <c r="A221" s="2" t="str">
        <f>IF(Сотрудники!A228&lt;&gt;"",Сотрудники!A228,"")</f>
        <v/>
      </c>
      <c r="B221" s="1" t="str">
        <f>IF(Сотрудники!B228 &lt;&gt; "",Сотрудники!B228,"")</f>
        <v/>
      </c>
    </row>
    <row r="222" spans="1:2" s="1" customFormat="1" x14ac:dyDescent="0.25">
      <c r="A222" s="2" t="str">
        <f>IF(Сотрудники!A229&lt;&gt;"",Сотрудники!A229,"")</f>
        <v/>
      </c>
      <c r="B222" s="1" t="str">
        <f>IF(Сотрудники!B229 &lt;&gt; "",Сотрудники!B229,"")</f>
        <v/>
      </c>
    </row>
    <row r="223" spans="1:2" s="1" customFormat="1" x14ac:dyDescent="0.25">
      <c r="A223" s="2" t="str">
        <f>IF(Сотрудники!A230&lt;&gt;"",Сотрудники!A230,"")</f>
        <v/>
      </c>
      <c r="B223" s="1" t="str">
        <f>IF(Сотрудники!B230 &lt;&gt; "",Сотрудники!B230,"")</f>
        <v/>
      </c>
    </row>
    <row r="224" spans="1:2" s="1" customFormat="1" x14ac:dyDescent="0.25">
      <c r="A224" s="2" t="str">
        <f>IF(Сотрудники!A231&lt;&gt;"",Сотрудники!A231,"")</f>
        <v/>
      </c>
      <c r="B224" s="1" t="str">
        <f>IF(Сотрудники!B231 &lt;&gt; "",Сотрудники!B231,"")</f>
        <v/>
      </c>
    </row>
    <row r="225" spans="1:2" s="1" customFormat="1" x14ac:dyDescent="0.25">
      <c r="A225" s="2" t="str">
        <f>IF(Сотрудники!A232&lt;&gt;"",Сотрудники!A232,"")</f>
        <v/>
      </c>
      <c r="B225" s="1" t="str">
        <f>IF(Сотрудники!B232 &lt;&gt; "",Сотрудники!B232,"")</f>
        <v/>
      </c>
    </row>
    <row r="226" spans="1:2" s="1" customFormat="1" x14ac:dyDescent="0.25">
      <c r="A226" s="2" t="str">
        <f>IF(Сотрудники!A233&lt;&gt;"",Сотрудники!A233,"")</f>
        <v/>
      </c>
      <c r="B226" s="1" t="str">
        <f>IF(Сотрудники!B233 &lt;&gt; "",Сотрудники!B233,"")</f>
        <v/>
      </c>
    </row>
    <row r="227" spans="1:2" s="1" customFormat="1" x14ac:dyDescent="0.25">
      <c r="A227" s="2" t="str">
        <f>IF(Сотрудники!A234&lt;&gt;"",Сотрудники!A234,"")</f>
        <v/>
      </c>
      <c r="B227" s="1" t="str">
        <f>IF(Сотрудники!B234 &lt;&gt; "",Сотрудники!B234,"")</f>
        <v/>
      </c>
    </row>
    <row r="228" spans="1:2" s="1" customFormat="1" x14ac:dyDescent="0.25">
      <c r="A228" s="2" t="str">
        <f>IF(Сотрудники!A235&lt;&gt;"",Сотрудники!A235,"")</f>
        <v/>
      </c>
      <c r="B228" s="1" t="str">
        <f>IF(Сотрудники!B235 &lt;&gt; "",Сотрудники!B235,"")</f>
        <v/>
      </c>
    </row>
    <row r="229" spans="1:2" s="1" customFormat="1" x14ac:dyDescent="0.25">
      <c r="A229" s="2" t="str">
        <f>IF(Сотрудники!A236&lt;&gt;"",Сотрудники!A236,"")</f>
        <v/>
      </c>
      <c r="B229" s="1" t="str">
        <f>IF(Сотрудники!B236 &lt;&gt; "",Сотрудники!B236,"")</f>
        <v/>
      </c>
    </row>
    <row r="230" spans="1:2" s="1" customFormat="1" x14ac:dyDescent="0.25">
      <c r="A230" s="2" t="str">
        <f>IF(Сотрудники!A237&lt;&gt;"",Сотрудники!A237,"")</f>
        <v/>
      </c>
      <c r="B230" s="1" t="str">
        <f>IF(Сотрудники!B237 &lt;&gt; "",Сотрудники!B237,"")</f>
        <v/>
      </c>
    </row>
    <row r="231" spans="1:2" s="1" customFormat="1" x14ac:dyDescent="0.25">
      <c r="A231" s="2" t="str">
        <f>IF(Сотрудники!A238&lt;&gt;"",Сотрудники!A238,"")</f>
        <v/>
      </c>
      <c r="B231" s="1" t="str">
        <f>IF(Сотрудники!B238 &lt;&gt; "",Сотрудники!B238,"")</f>
        <v/>
      </c>
    </row>
    <row r="232" spans="1:2" s="1" customFormat="1" x14ac:dyDescent="0.25">
      <c r="A232" s="2" t="str">
        <f>IF(Сотрудники!A239&lt;&gt;"",Сотрудники!A239,"")</f>
        <v/>
      </c>
      <c r="B232" s="1" t="str">
        <f>IF(Сотрудники!B239 &lt;&gt; "",Сотрудники!B239,"")</f>
        <v/>
      </c>
    </row>
    <row r="233" spans="1:2" s="1" customFormat="1" x14ac:dyDescent="0.25">
      <c r="A233" s="2" t="str">
        <f>IF(Сотрудники!A240&lt;&gt;"",Сотрудники!A240,"")</f>
        <v/>
      </c>
      <c r="B233" s="1" t="str">
        <f>IF(Сотрудники!B240 &lt;&gt; "",Сотрудники!B240,"")</f>
        <v/>
      </c>
    </row>
    <row r="234" spans="1:2" s="1" customFormat="1" x14ac:dyDescent="0.25">
      <c r="A234" s="2" t="str">
        <f>IF(Сотрудники!A241&lt;&gt;"",Сотрудники!A241,"")</f>
        <v/>
      </c>
      <c r="B234" s="1" t="str">
        <f>IF(Сотрудники!B241 &lt;&gt; "",Сотрудники!B241,"")</f>
        <v/>
      </c>
    </row>
    <row r="235" spans="1:2" s="1" customFormat="1" x14ac:dyDescent="0.25">
      <c r="A235" s="2" t="str">
        <f>IF(Сотрудники!A242&lt;&gt;"",Сотрудники!A242,"")</f>
        <v/>
      </c>
      <c r="B235" s="1" t="str">
        <f>IF(Сотрудники!B242 &lt;&gt; "",Сотрудники!B242,"")</f>
        <v/>
      </c>
    </row>
    <row r="236" spans="1:2" s="1" customFormat="1" x14ac:dyDescent="0.25">
      <c r="A236" s="2" t="str">
        <f>IF(Сотрудники!A243&lt;&gt;"",Сотрудники!A243,"")</f>
        <v/>
      </c>
      <c r="B236" s="1" t="str">
        <f>IF(Сотрудники!B243 &lt;&gt; "",Сотрудники!B243,"")</f>
        <v/>
      </c>
    </row>
    <row r="237" spans="1:2" s="1" customFormat="1" x14ac:dyDescent="0.25">
      <c r="A237" s="2" t="str">
        <f>IF(Сотрудники!A244&lt;&gt;"",Сотрудники!A244,"")</f>
        <v/>
      </c>
      <c r="B237" s="1" t="str">
        <f>IF(Сотрудники!B244 &lt;&gt; "",Сотрудники!B244,"")</f>
        <v/>
      </c>
    </row>
    <row r="238" spans="1:2" s="1" customFormat="1" x14ac:dyDescent="0.25">
      <c r="A238" s="2" t="str">
        <f>IF(Сотрудники!A245&lt;&gt;"",Сотрудники!A245,"")</f>
        <v/>
      </c>
      <c r="B238" s="1" t="str">
        <f>IF(Сотрудники!B245 &lt;&gt; "",Сотрудники!B245,"")</f>
        <v/>
      </c>
    </row>
    <row r="239" spans="1:2" s="1" customFormat="1" x14ac:dyDescent="0.25">
      <c r="A239" s="2" t="str">
        <f>IF(Сотрудники!A246&lt;&gt;"",Сотрудники!A246,"")</f>
        <v/>
      </c>
      <c r="B239" s="1" t="str">
        <f>IF(Сотрудники!B246 &lt;&gt; "",Сотрудники!B246,"")</f>
        <v/>
      </c>
    </row>
    <row r="240" spans="1:2" s="1" customFormat="1" x14ac:dyDescent="0.25">
      <c r="A240" s="2" t="str">
        <f>IF(Сотрудники!A247&lt;&gt;"",Сотрудники!A247,"")</f>
        <v/>
      </c>
      <c r="B240" s="1" t="str">
        <f>IF(Сотрудники!B247 &lt;&gt; "",Сотрудники!B247,"")</f>
        <v/>
      </c>
    </row>
    <row r="241" spans="1:2" s="1" customFormat="1" x14ac:dyDescent="0.25">
      <c r="A241" s="2" t="str">
        <f>IF(Сотрудники!A248&lt;&gt;"",Сотрудники!A248,"")</f>
        <v/>
      </c>
      <c r="B241" s="1" t="str">
        <f>IF(Сотрудники!B248 &lt;&gt; "",Сотрудники!B248,"")</f>
        <v/>
      </c>
    </row>
    <row r="242" spans="1:2" s="1" customFormat="1" x14ac:dyDescent="0.25">
      <c r="A242" s="2" t="str">
        <f>IF(Сотрудники!A249&lt;&gt;"",Сотрудники!A249,"")</f>
        <v/>
      </c>
      <c r="B242" s="1" t="str">
        <f>IF(Сотрудники!B249 &lt;&gt; "",Сотрудники!B249,"")</f>
        <v/>
      </c>
    </row>
    <row r="243" spans="1:2" s="1" customFormat="1" x14ac:dyDescent="0.25">
      <c r="A243" s="2" t="str">
        <f>IF(Сотрудники!A250&lt;&gt;"",Сотрудники!A250,"")</f>
        <v/>
      </c>
      <c r="B243" s="1" t="str">
        <f>IF(Сотрудники!B250 &lt;&gt; "",Сотрудники!B250,"")</f>
        <v/>
      </c>
    </row>
    <row r="244" spans="1:2" s="1" customFormat="1" x14ac:dyDescent="0.25">
      <c r="A244" s="2" t="str">
        <f>IF(Сотрудники!A251&lt;&gt;"",Сотрудники!A251,"")</f>
        <v/>
      </c>
      <c r="B244" s="1" t="str">
        <f>IF(Сотрудники!B251 &lt;&gt; "",Сотрудники!B251,"")</f>
        <v/>
      </c>
    </row>
    <row r="245" spans="1:2" s="1" customFormat="1" x14ac:dyDescent="0.25">
      <c r="A245" s="2" t="str">
        <f>IF(Сотрудники!A252&lt;&gt;"",Сотрудники!A252,"")</f>
        <v/>
      </c>
      <c r="B245" s="1" t="str">
        <f>IF(Сотрудники!B252 &lt;&gt; "",Сотрудники!B252,"")</f>
        <v/>
      </c>
    </row>
    <row r="246" spans="1:2" s="1" customFormat="1" x14ac:dyDescent="0.25">
      <c r="A246" s="2" t="str">
        <f>IF(Сотрудники!A253&lt;&gt;"",Сотрудники!A253,"")</f>
        <v/>
      </c>
      <c r="B246" s="1" t="str">
        <f>IF(Сотрудники!B253 &lt;&gt; "",Сотрудники!B253,"")</f>
        <v/>
      </c>
    </row>
    <row r="247" spans="1:2" s="1" customFormat="1" x14ac:dyDescent="0.25">
      <c r="A247" s="2" t="str">
        <f>IF(Сотрудники!A254&lt;&gt;"",Сотрудники!A254,"")</f>
        <v/>
      </c>
      <c r="B247" s="1" t="str">
        <f>IF(Сотрудники!B254 &lt;&gt; "",Сотрудники!B254,"")</f>
        <v/>
      </c>
    </row>
    <row r="248" spans="1:2" s="1" customFormat="1" x14ac:dyDescent="0.25">
      <c r="A248" s="2" t="str">
        <f>IF(Сотрудники!A255&lt;&gt;"",Сотрудники!A255,"")</f>
        <v/>
      </c>
      <c r="B248" s="1" t="str">
        <f>IF(Сотрудники!B255 &lt;&gt; "",Сотрудники!B255,"")</f>
        <v/>
      </c>
    </row>
    <row r="249" spans="1:2" s="1" customFormat="1" x14ac:dyDescent="0.25">
      <c r="A249" s="2" t="str">
        <f>IF(Сотрудники!A256&lt;&gt;"",Сотрудники!A256,"")</f>
        <v/>
      </c>
      <c r="B249" s="1" t="str">
        <f>IF(Сотрудники!B256 &lt;&gt; "",Сотрудники!B256,"")</f>
        <v/>
      </c>
    </row>
    <row r="250" spans="1:2" s="1" customFormat="1" x14ac:dyDescent="0.25">
      <c r="A250" s="2" t="str">
        <f>IF(Сотрудники!A257&lt;&gt;"",Сотрудники!A257,"")</f>
        <v/>
      </c>
      <c r="B250" s="1" t="str">
        <f>IF(Сотрудники!B257 &lt;&gt; "",Сотрудники!B257,"")</f>
        <v/>
      </c>
    </row>
    <row r="251" spans="1:2" s="1" customFormat="1" x14ac:dyDescent="0.25">
      <c r="A251" s="2" t="str">
        <f>IF(Сотрудники!A258&lt;&gt;"",Сотрудники!A258,"")</f>
        <v/>
      </c>
      <c r="B251" s="1" t="str">
        <f>IF(Сотрудники!B258 &lt;&gt; "",Сотрудники!B258,"")</f>
        <v/>
      </c>
    </row>
    <row r="252" spans="1:2" s="1" customFormat="1" x14ac:dyDescent="0.25">
      <c r="A252" s="2" t="str">
        <f>IF(Сотрудники!A259&lt;&gt;"",Сотрудники!A259,"")</f>
        <v/>
      </c>
      <c r="B252" s="1" t="str">
        <f>IF(Сотрудники!B259 &lt;&gt; "",Сотрудники!B259,"")</f>
        <v/>
      </c>
    </row>
    <row r="253" spans="1:2" s="1" customFormat="1" x14ac:dyDescent="0.25">
      <c r="A253" s="2" t="str">
        <f>IF(Сотрудники!A260&lt;&gt;"",Сотрудники!A260,"")</f>
        <v/>
      </c>
      <c r="B253" s="1" t="str">
        <f>IF(Сотрудники!B260 &lt;&gt; "",Сотрудники!B260,"")</f>
        <v/>
      </c>
    </row>
    <row r="254" spans="1:2" s="1" customFormat="1" x14ac:dyDescent="0.25">
      <c r="A254" s="2" t="str">
        <f>IF(Сотрудники!A261&lt;&gt;"",Сотрудники!A261,"")</f>
        <v/>
      </c>
      <c r="B254" s="1" t="str">
        <f>IF(Сотрудники!B261 &lt;&gt; "",Сотрудники!B261,"")</f>
        <v/>
      </c>
    </row>
    <row r="255" spans="1:2" s="1" customFormat="1" x14ac:dyDescent="0.25">
      <c r="A255" s="2" t="str">
        <f>IF(Сотрудники!A262&lt;&gt;"",Сотрудники!A262,"")</f>
        <v/>
      </c>
      <c r="B255" s="1" t="str">
        <f>IF(Сотрудники!B262 &lt;&gt; "",Сотрудники!B262,"")</f>
        <v/>
      </c>
    </row>
    <row r="256" spans="1:2" s="1" customFormat="1" x14ac:dyDescent="0.25">
      <c r="A256" s="2" t="str">
        <f>IF(Сотрудники!A263&lt;&gt;"",Сотрудники!A263,"")</f>
        <v/>
      </c>
      <c r="B256" s="1" t="str">
        <f>IF(Сотрудники!B263 &lt;&gt; "",Сотрудники!B263,"")</f>
        <v/>
      </c>
    </row>
    <row r="257" spans="1:2" s="1" customFormat="1" x14ac:dyDescent="0.25">
      <c r="A257" s="2" t="str">
        <f>IF(Сотрудники!A264&lt;&gt;"",Сотрудники!A264,"")</f>
        <v/>
      </c>
      <c r="B257" s="1" t="str">
        <f>IF(Сотрудники!B264 &lt;&gt; "",Сотрудники!B264,"")</f>
        <v/>
      </c>
    </row>
    <row r="258" spans="1:2" s="1" customFormat="1" x14ac:dyDescent="0.25">
      <c r="A258" s="2" t="str">
        <f>IF(Сотрудники!A265&lt;&gt;"",Сотрудники!A265,"")</f>
        <v/>
      </c>
      <c r="B258" s="1" t="str">
        <f>IF(Сотрудники!B265 &lt;&gt; "",Сотрудники!B265,"")</f>
        <v/>
      </c>
    </row>
    <row r="259" spans="1:2" s="1" customFormat="1" x14ac:dyDescent="0.25">
      <c r="A259" s="2" t="str">
        <f>IF(Сотрудники!A266&lt;&gt;"",Сотрудники!A266,"")</f>
        <v/>
      </c>
      <c r="B259" s="1" t="str">
        <f>IF(Сотрудники!B266 &lt;&gt; "",Сотрудники!B266,"")</f>
        <v/>
      </c>
    </row>
    <row r="260" spans="1:2" s="1" customFormat="1" x14ac:dyDescent="0.25">
      <c r="A260" s="2" t="str">
        <f>IF(Сотрудники!A267&lt;&gt;"",Сотрудники!A267,"")</f>
        <v/>
      </c>
      <c r="B260" s="1" t="str">
        <f>IF(Сотрудники!B267 &lt;&gt; "",Сотрудники!B267,"")</f>
        <v/>
      </c>
    </row>
    <row r="261" spans="1:2" s="1" customFormat="1" x14ac:dyDescent="0.25">
      <c r="A261" s="2" t="str">
        <f>IF(Сотрудники!A268&lt;&gt;"",Сотрудники!A268,"")</f>
        <v/>
      </c>
      <c r="B261" s="1" t="str">
        <f>IF(Сотрудники!B268 &lt;&gt; "",Сотрудники!B268,"")</f>
        <v/>
      </c>
    </row>
    <row r="262" spans="1:2" s="1" customFormat="1" x14ac:dyDescent="0.25">
      <c r="A262" s="2" t="str">
        <f>IF(Сотрудники!A269&lt;&gt;"",Сотрудники!A269,"")</f>
        <v/>
      </c>
      <c r="B262" s="1" t="str">
        <f>IF(Сотрудники!B269 &lt;&gt; "",Сотрудники!B269,"")</f>
        <v/>
      </c>
    </row>
    <row r="263" spans="1:2" s="1" customFormat="1" x14ac:dyDescent="0.25">
      <c r="A263" s="2" t="str">
        <f>IF(Сотрудники!A270&lt;&gt;"",Сотрудники!A270,"")</f>
        <v/>
      </c>
      <c r="B263" s="1" t="str">
        <f>IF(Сотрудники!B270 &lt;&gt; "",Сотрудники!B270,"")</f>
        <v/>
      </c>
    </row>
    <row r="264" spans="1:2" s="1" customFormat="1" x14ac:dyDescent="0.25">
      <c r="A264" s="2" t="str">
        <f>IF(Сотрудники!A271&lt;&gt;"",Сотрудники!A271,"")</f>
        <v/>
      </c>
      <c r="B264" s="1" t="str">
        <f>IF(Сотрудники!B271 &lt;&gt; "",Сотрудники!B271,"")</f>
        <v/>
      </c>
    </row>
    <row r="265" spans="1:2" s="1" customFormat="1" x14ac:dyDescent="0.25">
      <c r="A265" s="2" t="str">
        <f>IF(Сотрудники!A272&lt;&gt;"",Сотрудники!A272,"")</f>
        <v/>
      </c>
      <c r="B265" s="1" t="str">
        <f>IF(Сотрудники!B272 &lt;&gt; "",Сотрудники!B272,"")</f>
        <v/>
      </c>
    </row>
    <row r="266" spans="1:2" s="1" customFormat="1" x14ac:dyDescent="0.25">
      <c r="A266" s="2" t="str">
        <f>IF(Сотрудники!A273&lt;&gt;"",Сотрудники!A273,"")</f>
        <v/>
      </c>
      <c r="B266" s="1" t="str">
        <f>IF(Сотрудники!B273 &lt;&gt; "",Сотрудники!B273,"")</f>
        <v/>
      </c>
    </row>
    <row r="267" spans="1:2" s="1" customFormat="1" x14ac:dyDescent="0.25">
      <c r="A267" s="2" t="str">
        <f>IF(Сотрудники!A274&lt;&gt;"",Сотрудники!A274,"")</f>
        <v/>
      </c>
      <c r="B267" s="1" t="str">
        <f>IF(Сотрудники!B274 &lt;&gt; "",Сотрудники!B274,"")</f>
        <v/>
      </c>
    </row>
    <row r="268" spans="1:2" s="1" customFormat="1" x14ac:dyDescent="0.25">
      <c r="A268" s="2" t="str">
        <f>IF(Сотрудники!A275&lt;&gt;"",Сотрудники!A275,"")</f>
        <v/>
      </c>
      <c r="B268" s="1" t="str">
        <f>IF(Сотрудники!B275 &lt;&gt; "",Сотрудники!B275,"")</f>
        <v/>
      </c>
    </row>
    <row r="269" spans="1:2" s="1" customFormat="1" x14ac:dyDescent="0.25">
      <c r="A269" s="2" t="str">
        <f>IF(Сотрудники!A276&lt;&gt;"",Сотрудники!A276,"")</f>
        <v/>
      </c>
      <c r="B269" s="1" t="str">
        <f>IF(Сотрудники!B276 &lt;&gt; "",Сотрудники!B276,"")</f>
        <v/>
      </c>
    </row>
    <row r="270" spans="1:2" s="1" customFormat="1" x14ac:dyDescent="0.25">
      <c r="A270" s="2" t="str">
        <f>IF(Сотрудники!A277&lt;&gt;"",Сотрудники!A277,"")</f>
        <v/>
      </c>
      <c r="B270" s="1" t="str">
        <f>IF(Сотрудники!B277 &lt;&gt; "",Сотрудники!B277,"")</f>
        <v/>
      </c>
    </row>
    <row r="271" spans="1:2" s="1" customFormat="1" x14ac:dyDescent="0.25">
      <c r="A271" s="2" t="str">
        <f>IF(Сотрудники!A278&lt;&gt;"",Сотрудники!A278,"")</f>
        <v/>
      </c>
      <c r="B271" s="1" t="str">
        <f>IF(Сотрудники!B278 &lt;&gt; "",Сотрудники!B278,"")</f>
        <v/>
      </c>
    </row>
    <row r="272" spans="1:2" s="1" customFormat="1" x14ac:dyDescent="0.25">
      <c r="A272" s="2" t="str">
        <f>IF(Сотрудники!A279&lt;&gt;"",Сотрудники!A279,"")</f>
        <v/>
      </c>
      <c r="B272" s="1" t="str">
        <f>IF(Сотрудники!B279 &lt;&gt; "",Сотрудники!B279,"")</f>
        <v/>
      </c>
    </row>
    <row r="273" spans="1:2" s="1" customFormat="1" x14ac:dyDescent="0.25">
      <c r="A273" s="2" t="str">
        <f>IF(Сотрудники!A280&lt;&gt;"",Сотрудники!A280,"")</f>
        <v/>
      </c>
      <c r="B273" s="1" t="str">
        <f>IF(Сотрудники!B280 &lt;&gt; "",Сотрудники!B280,"")</f>
        <v/>
      </c>
    </row>
    <row r="274" spans="1:2" s="1" customFormat="1" x14ac:dyDescent="0.25">
      <c r="A274" s="2" t="str">
        <f>IF(Сотрудники!A281&lt;&gt;"",Сотрудники!A281,"")</f>
        <v/>
      </c>
      <c r="B274" s="1" t="str">
        <f>IF(Сотрудники!B281 &lt;&gt; "",Сотрудники!B281,"")</f>
        <v/>
      </c>
    </row>
    <row r="275" spans="1:2" s="1" customFormat="1" x14ac:dyDescent="0.25">
      <c r="A275" s="2" t="str">
        <f>IF(Сотрудники!A282&lt;&gt;"",Сотрудники!A282,"")</f>
        <v/>
      </c>
      <c r="B275" s="1" t="str">
        <f>IF(Сотрудники!B282 &lt;&gt; "",Сотрудники!B282,"")</f>
        <v/>
      </c>
    </row>
    <row r="276" spans="1:2" s="1" customFormat="1" x14ac:dyDescent="0.25">
      <c r="A276" s="2" t="str">
        <f>IF(Сотрудники!A283&lt;&gt;"",Сотрудники!A283,"")</f>
        <v/>
      </c>
      <c r="B276" s="1" t="str">
        <f>IF(Сотрудники!B283 &lt;&gt; "",Сотрудники!B283,"")</f>
        <v/>
      </c>
    </row>
    <row r="277" spans="1:2" s="1" customFormat="1" x14ac:dyDescent="0.25">
      <c r="A277" s="2" t="str">
        <f>IF(Сотрудники!A284&lt;&gt;"",Сотрудники!A284,"")</f>
        <v/>
      </c>
      <c r="B277" s="1" t="str">
        <f>IF(Сотрудники!B284 &lt;&gt; "",Сотрудники!B284,"")</f>
        <v/>
      </c>
    </row>
    <row r="278" spans="1:2" s="1" customFormat="1" x14ac:dyDescent="0.25">
      <c r="A278" s="2" t="str">
        <f>IF(Сотрудники!A285&lt;&gt;"",Сотрудники!A285,"")</f>
        <v/>
      </c>
      <c r="B278" s="1" t="str">
        <f>IF(Сотрудники!B285 &lt;&gt; "",Сотрудники!B285,"")</f>
        <v/>
      </c>
    </row>
    <row r="279" spans="1:2" s="1" customFormat="1" x14ac:dyDescent="0.25">
      <c r="A279" s="2" t="str">
        <f>IF(Сотрудники!A286&lt;&gt;"",Сотрудники!A286,"")</f>
        <v/>
      </c>
      <c r="B279" s="1" t="str">
        <f>IF(Сотрудники!B286 &lt;&gt; "",Сотрудники!B286,"")</f>
        <v/>
      </c>
    </row>
    <row r="280" spans="1:2" s="1" customFormat="1" x14ac:dyDescent="0.25">
      <c r="A280" s="2" t="str">
        <f>IF(Сотрудники!A287&lt;&gt;"",Сотрудники!A287,"")</f>
        <v/>
      </c>
      <c r="B280" s="1" t="str">
        <f>IF(Сотрудники!B287 &lt;&gt; "",Сотрудники!B287,"")</f>
        <v/>
      </c>
    </row>
    <row r="281" spans="1:2" s="1" customFormat="1" x14ac:dyDescent="0.25">
      <c r="A281" s="2" t="str">
        <f>IF(Сотрудники!A288&lt;&gt;"",Сотрудники!A288,"")</f>
        <v/>
      </c>
      <c r="B281" s="1" t="str">
        <f>IF(Сотрудники!B288 &lt;&gt; "",Сотрудники!B288,"")</f>
        <v/>
      </c>
    </row>
    <row r="282" spans="1:2" s="1" customFormat="1" x14ac:dyDescent="0.25">
      <c r="A282" s="2" t="str">
        <f>IF(Сотрудники!A289&lt;&gt;"",Сотрудники!A289,"")</f>
        <v/>
      </c>
      <c r="B282" s="1" t="str">
        <f>IF(Сотрудники!B289 &lt;&gt; "",Сотрудники!B289,"")</f>
        <v/>
      </c>
    </row>
    <row r="283" spans="1:2" s="1" customFormat="1" x14ac:dyDescent="0.25">
      <c r="A283" s="2" t="str">
        <f>IF(Сотрудники!A290&lt;&gt;"",Сотрудники!A290,"")</f>
        <v/>
      </c>
      <c r="B283" s="1" t="str">
        <f>IF(Сотрудники!B290 &lt;&gt; "",Сотрудники!B290,"")</f>
        <v/>
      </c>
    </row>
    <row r="284" spans="1:2" s="1" customFormat="1" x14ac:dyDescent="0.25">
      <c r="A284" s="2" t="str">
        <f>IF(Сотрудники!A291&lt;&gt;"",Сотрудники!A291,"")</f>
        <v/>
      </c>
      <c r="B284" s="1" t="str">
        <f>IF(Сотрудники!B291 &lt;&gt; "",Сотрудники!B291,"")</f>
        <v/>
      </c>
    </row>
    <row r="285" spans="1:2" s="1" customFormat="1" x14ac:dyDescent="0.25">
      <c r="A285" s="2" t="str">
        <f>IF(Сотрудники!A292&lt;&gt;"",Сотрудники!A292,"")</f>
        <v/>
      </c>
      <c r="B285" s="1" t="str">
        <f>IF(Сотрудники!B292 &lt;&gt; "",Сотрудники!B292,"")</f>
        <v/>
      </c>
    </row>
    <row r="286" spans="1:2" s="1" customFormat="1" x14ac:dyDescent="0.25">
      <c r="A286" s="2" t="str">
        <f>IF(Сотрудники!A293&lt;&gt;"",Сотрудники!A293,"")</f>
        <v/>
      </c>
      <c r="B286" s="1" t="str">
        <f>IF(Сотрудники!B293 &lt;&gt; "",Сотрудники!B293,"")</f>
        <v/>
      </c>
    </row>
    <row r="287" spans="1:2" s="1" customFormat="1" x14ac:dyDescent="0.25">
      <c r="A287" s="2" t="str">
        <f>IF(Сотрудники!A294&lt;&gt;"",Сотрудники!A294,"")</f>
        <v/>
      </c>
      <c r="B287" s="1" t="str">
        <f>IF(Сотрудники!B294 &lt;&gt; "",Сотрудники!B294,"")</f>
        <v/>
      </c>
    </row>
    <row r="288" spans="1:2" s="1" customFormat="1" x14ac:dyDescent="0.25">
      <c r="A288" s="2" t="str">
        <f>IF(Сотрудники!A295&lt;&gt;"",Сотрудники!A295,"")</f>
        <v/>
      </c>
      <c r="B288" s="1" t="str">
        <f>IF(Сотрудники!B295 &lt;&gt; "",Сотрудники!B295,"")</f>
        <v/>
      </c>
    </row>
    <row r="289" spans="1:2" s="1" customFormat="1" x14ac:dyDescent="0.25">
      <c r="A289" s="2" t="str">
        <f>IF(Сотрудники!A296&lt;&gt;"",Сотрудники!A296,"")</f>
        <v/>
      </c>
      <c r="B289" s="1" t="str">
        <f>IF(Сотрудники!B296 &lt;&gt; "",Сотрудники!B296,"")</f>
        <v/>
      </c>
    </row>
    <row r="290" spans="1:2" s="1" customFormat="1" x14ac:dyDescent="0.25">
      <c r="A290" s="2" t="str">
        <f>IF(Сотрудники!A297&lt;&gt;"",Сотрудники!A297,"")</f>
        <v/>
      </c>
      <c r="B290" s="1" t="str">
        <f>IF(Сотрудники!B297 &lt;&gt; "",Сотрудники!B297,"")</f>
        <v/>
      </c>
    </row>
    <row r="291" spans="1:2" s="1" customFormat="1" x14ac:dyDescent="0.25">
      <c r="A291" s="2" t="str">
        <f>IF(Сотрудники!A298&lt;&gt;"",Сотрудники!A298,"")</f>
        <v/>
      </c>
      <c r="B291" s="1" t="str">
        <f>IF(Сотрудники!B298 &lt;&gt; "",Сотрудники!B298,"")</f>
        <v/>
      </c>
    </row>
    <row r="292" spans="1:2" s="1" customFormat="1" x14ac:dyDescent="0.25">
      <c r="A292" s="2" t="str">
        <f>IF(Сотрудники!A299&lt;&gt;"",Сотрудники!A299,"")</f>
        <v/>
      </c>
      <c r="B292" s="1" t="str">
        <f>IF(Сотрудники!B299 &lt;&gt; "",Сотрудники!B299,"")</f>
        <v/>
      </c>
    </row>
    <row r="293" spans="1:2" s="1" customFormat="1" x14ac:dyDescent="0.25">
      <c r="A293" s="2" t="str">
        <f>IF(Сотрудники!A300&lt;&gt;"",Сотрудники!A300,"")</f>
        <v/>
      </c>
      <c r="B293" s="1" t="str">
        <f>IF(Сотрудники!B300 &lt;&gt; "",Сотрудники!B300,"")</f>
        <v/>
      </c>
    </row>
    <row r="294" spans="1:2" s="1" customFormat="1" x14ac:dyDescent="0.25">
      <c r="A294" s="2" t="str">
        <f>IF(Сотрудники!A301&lt;&gt;"",Сотрудники!A301,"")</f>
        <v/>
      </c>
      <c r="B294" s="1" t="str">
        <f>IF(Сотрудники!B301 &lt;&gt; "",Сотрудники!B301,"")</f>
        <v/>
      </c>
    </row>
    <row r="295" spans="1:2" s="1" customFormat="1" x14ac:dyDescent="0.25">
      <c r="A295" s="2" t="str">
        <f>IF(Сотрудники!A302&lt;&gt;"",Сотрудники!A302,"")</f>
        <v/>
      </c>
      <c r="B295" s="1" t="str">
        <f>IF(Сотрудники!B302 &lt;&gt; "",Сотрудники!B302,"")</f>
        <v/>
      </c>
    </row>
    <row r="296" spans="1:2" s="1" customFormat="1" x14ac:dyDescent="0.25">
      <c r="A296" s="2" t="str">
        <f>IF(Сотрудники!A303&lt;&gt;"",Сотрудники!A303,"")</f>
        <v/>
      </c>
      <c r="B296" s="1" t="str">
        <f>IF(Сотрудники!B303 &lt;&gt; "",Сотрудники!B303,"")</f>
        <v/>
      </c>
    </row>
    <row r="297" spans="1:2" s="1" customFormat="1" x14ac:dyDescent="0.25">
      <c r="A297" s="2" t="str">
        <f>IF(Сотрудники!A304&lt;&gt;"",Сотрудники!A304,"")</f>
        <v/>
      </c>
      <c r="B297" s="1" t="str">
        <f>IF(Сотрудники!B304 &lt;&gt; "",Сотрудники!B304,"")</f>
        <v/>
      </c>
    </row>
    <row r="298" spans="1:2" s="1" customFormat="1" x14ac:dyDescent="0.25">
      <c r="A298" s="2" t="str">
        <f>IF(Сотрудники!A305&lt;&gt;"",Сотрудники!A305,"")</f>
        <v/>
      </c>
      <c r="B298" s="1" t="str">
        <f>IF(Сотрудники!B305 &lt;&gt; "",Сотрудники!B305,"")</f>
        <v/>
      </c>
    </row>
    <row r="299" spans="1:2" s="1" customFormat="1" x14ac:dyDescent="0.25">
      <c r="A299" s="2" t="str">
        <f>IF(Сотрудники!A306&lt;&gt;"",Сотрудники!A306,"")</f>
        <v/>
      </c>
      <c r="B299" s="1" t="str">
        <f>IF(Сотрудники!B306 &lt;&gt; "",Сотрудники!B306,"")</f>
        <v/>
      </c>
    </row>
    <row r="300" spans="1:2" s="1" customFormat="1" x14ac:dyDescent="0.25">
      <c r="A300" s="2" t="str">
        <f>IF(Сотрудники!A307&lt;&gt;"",Сотрудники!A307,"")</f>
        <v/>
      </c>
      <c r="B300" s="1" t="str">
        <f>IF(Сотрудники!B307 &lt;&gt; "",Сотрудники!B307,"")</f>
        <v/>
      </c>
    </row>
    <row r="301" spans="1:2" s="1" customFormat="1" x14ac:dyDescent="0.25">
      <c r="A301" s="2" t="str">
        <f>IF(Сотрудники!A308&lt;&gt;"",Сотрудники!A308,"")</f>
        <v/>
      </c>
      <c r="B301" s="1" t="str">
        <f>IF(Сотрудники!B308 &lt;&gt; "",Сотрудники!B308,"")</f>
        <v/>
      </c>
    </row>
    <row r="302" spans="1:2" s="1" customFormat="1" x14ac:dyDescent="0.25">
      <c r="A302" s="2" t="str">
        <f>IF(Сотрудники!A309&lt;&gt;"",Сотрудники!A309,"")</f>
        <v/>
      </c>
      <c r="B302" s="1" t="str">
        <f>IF(Сотрудники!B309 &lt;&gt; "",Сотрудники!B309,"")</f>
        <v/>
      </c>
    </row>
    <row r="303" spans="1:2" s="1" customFormat="1" x14ac:dyDescent="0.25">
      <c r="A303" s="2" t="str">
        <f>IF(Сотрудники!A310&lt;&gt;"",Сотрудники!A310,"")</f>
        <v/>
      </c>
      <c r="B303" s="1" t="str">
        <f>IF(Сотрудники!B310 &lt;&gt; "",Сотрудники!B310,"")</f>
        <v/>
      </c>
    </row>
    <row r="304" spans="1:2" s="1" customFormat="1" x14ac:dyDescent="0.25">
      <c r="A304" s="2" t="str">
        <f>IF(Сотрудники!A311&lt;&gt;"",Сотрудники!A311,"")</f>
        <v/>
      </c>
      <c r="B304" s="1" t="str">
        <f>IF(Сотрудники!B311 &lt;&gt; "",Сотрудники!B311,"")</f>
        <v/>
      </c>
    </row>
    <row r="305" spans="1:2" s="1" customFormat="1" x14ac:dyDescent="0.25">
      <c r="A305" s="2" t="str">
        <f>IF(Сотрудники!A312&lt;&gt;"",Сотрудники!A312,"")</f>
        <v/>
      </c>
      <c r="B305" s="1" t="str">
        <f>IF(Сотрудники!B312 &lt;&gt; "",Сотрудники!B312,"")</f>
        <v/>
      </c>
    </row>
    <row r="306" spans="1:2" s="1" customFormat="1" x14ac:dyDescent="0.25">
      <c r="A306" s="2" t="str">
        <f>IF(Сотрудники!A313&lt;&gt;"",Сотрудники!A313,"")</f>
        <v/>
      </c>
      <c r="B306" s="1" t="str">
        <f>IF(Сотрудники!B313 &lt;&gt; "",Сотрудники!B313,"")</f>
        <v/>
      </c>
    </row>
    <row r="307" spans="1:2" s="1" customFormat="1" x14ac:dyDescent="0.25">
      <c r="A307" s="2" t="str">
        <f>IF(Сотрудники!A314&lt;&gt;"",Сотрудники!A314,"")</f>
        <v/>
      </c>
      <c r="B307" s="1" t="str">
        <f>IF(Сотрудники!B314 &lt;&gt; "",Сотрудники!B314,"")</f>
        <v/>
      </c>
    </row>
    <row r="308" spans="1:2" s="1" customFormat="1" x14ac:dyDescent="0.25">
      <c r="A308" s="2" t="str">
        <f>IF(Сотрудники!A315&lt;&gt;"",Сотрудники!A315,"")</f>
        <v/>
      </c>
      <c r="B308" s="1" t="str">
        <f>IF(Сотрудники!B315 &lt;&gt; "",Сотрудники!B315,"")</f>
        <v/>
      </c>
    </row>
    <row r="309" spans="1:2" s="1" customFormat="1" x14ac:dyDescent="0.25">
      <c r="A309" s="2" t="str">
        <f>IF(Сотрудники!A316&lt;&gt;"",Сотрудники!A316,"")</f>
        <v/>
      </c>
      <c r="B309" s="1" t="str">
        <f>IF(Сотрудники!B316 &lt;&gt; "",Сотрудники!B316,"")</f>
        <v/>
      </c>
    </row>
    <row r="310" spans="1:2" s="1" customFormat="1" x14ac:dyDescent="0.25">
      <c r="A310" s="2" t="str">
        <f>IF(Сотрудники!A317&lt;&gt;"",Сотрудники!A317,"")</f>
        <v/>
      </c>
      <c r="B310" s="1" t="str">
        <f>IF(Сотрудники!B317 &lt;&gt; "",Сотрудники!B317,"")</f>
        <v/>
      </c>
    </row>
    <row r="311" spans="1:2" s="1" customFormat="1" x14ac:dyDescent="0.25">
      <c r="A311" s="2" t="str">
        <f>IF(Сотрудники!A318&lt;&gt;"",Сотрудники!A318,"")</f>
        <v/>
      </c>
      <c r="B311" s="1" t="str">
        <f>IF(Сотрудники!B318 &lt;&gt; "",Сотрудники!B318,"")</f>
        <v/>
      </c>
    </row>
    <row r="312" spans="1:2" s="1" customFormat="1" x14ac:dyDescent="0.25">
      <c r="A312" s="2" t="str">
        <f>IF(Сотрудники!A319&lt;&gt;"",Сотрудники!A319,"")</f>
        <v/>
      </c>
      <c r="B312" s="1" t="str">
        <f>IF(Сотрудники!B319 &lt;&gt; "",Сотрудники!B319,"")</f>
        <v/>
      </c>
    </row>
    <row r="313" spans="1:2" s="1" customFormat="1" x14ac:dyDescent="0.25">
      <c r="A313" s="2" t="str">
        <f>IF(Сотрудники!A320&lt;&gt;"",Сотрудники!A320,"")</f>
        <v/>
      </c>
      <c r="B313" s="1" t="str">
        <f>IF(Сотрудники!B320 &lt;&gt; "",Сотрудники!B320,"")</f>
        <v/>
      </c>
    </row>
    <row r="314" spans="1:2" s="1" customFormat="1" x14ac:dyDescent="0.25">
      <c r="A314" s="2" t="str">
        <f>IF(Сотрудники!A321&lt;&gt;"",Сотрудники!A321,"")</f>
        <v/>
      </c>
      <c r="B314" s="1" t="str">
        <f>IF(Сотрудники!B321 &lt;&gt; "",Сотрудники!B321,"")</f>
        <v/>
      </c>
    </row>
    <row r="315" spans="1:2" s="1" customFormat="1" x14ac:dyDescent="0.25">
      <c r="A315" s="2" t="str">
        <f>IF(Сотрудники!A322&lt;&gt;"",Сотрудники!A322,"")</f>
        <v/>
      </c>
      <c r="B315" s="1" t="str">
        <f>IF(Сотрудники!B322 &lt;&gt; "",Сотрудники!B322,"")</f>
        <v/>
      </c>
    </row>
    <row r="316" spans="1:2" s="1" customFormat="1" x14ac:dyDescent="0.25">
      <c r="A316" s="2" t="str">
        <f>IF(Сотрудники!A323&lt;&gt;"",Сотрудники!A323,"")</f>
        <v/>
      </c>
      <c r="B316" s="1" t="str">
        <f>IF(Сотрудники!B323 &lt;&gt; "",Сотрудники!B323,"")</f>
        <v/>
      </c>
    </row>
    <row r="317" spans="1:2" s="1" customFormat="1" x14ac:dyDescent="0.25">
      <c r="A317" s="2" t="str">
        <f>IF(Сотрудники!A324&lt;&gt;"",Сотрудники!A324,"")</f>
        <v/>
      </c>
      <c r="B317" s="1" t="str">
        <f>IF(Сотрудники!B324 &lt;&gt; "",Сотрудники!B324,"")</f>
        <v/>
      </c>
    </row>
    <row r="318" spans="1:2" s="1" customFormat="1" x14ac:dyDescent="0.25">
      <c r="A318" s="2" t="str">
        <f>IF(Сотрудники!A325&lt;&gt;"",Сотрудники!A325,"")</f>
        <v/>
      </c>
      <c r="B318" s="1" t="str">
        <f>IF(Сотрудники!B325 &lt;&gt; "",Сотрудники!B325,"")</f>
        <v/>
      </c>
    </row>
    <row r="319" spans="1:2" s="1" customFormat="1" x14ac:dyDescent="0.25">
      <c r="A319" s="2" t="str">
        <f>IF(Сотрудники!A326&lt;&gt;"",Сотрудники!A326,"")</f>
        <v/>
      </c>
      <c r="B319" s="1" t="str">
        <f>IF(Сотрудники!B326 &lt;&gt; "",Сотрудники!B326,"")</f>
        <v/>
      </c>
    </row>
    <row r="320" spans="1:2" s="1" customFormat="1" x14ac:dyDescent="0.25">
      <c r="A320" s="2" t="str">
        <f>IF(Сотрудники!A327&lt;&gt;"",Сотрудники!A327,"")</f>
        <v/>
      </c>
      <c r="B320" s="1" t="str">
        <f>IF(Сотрудники!B327 &lt;&gt; "",Сотрудники!B327,"")</f>
        <v/>
      </c>
    </row>
    <row r="321" spans="1:2" s="1" customFormat="1" x14ac:dyDescent="0.25">
      <c r="A321" s="2" t="str">
        <f>IF(Сотрудники!A328&lt;&gt;"",Сотрудники!A328,"")</f>
        <v/>
      </c>
      <c r="B321" s="1" t="str">
        <f>IF(Сотрудники!B328 &lt;&gt; "",Сотрудники!B328,"")</f>
        <v/>
      </c>
    </row>
    <row r="322" spans="1:2" s="1" customFormat="1" x14ac:dyDescent="0.25">
      <c r="A322" s="2" t="str">
        <f>IF(Сотрудники!A329&lt;&gt;"",Сотрудники!A329,"")</f>
        <v/>
      </c>
      <c r="B322" s="1" t="str">
        <f>IF(Сотрудники!B329 &lt;&gt; "",Сотрудники!B329,"")</f>
        <v/>
      </c>
    </row>
    <row r="323" spans="1:2" s="1" customFormat="1" x14ac:dyDescent="0.25">
      <c r="A323" s="2" t="str">
        <f>IF(Сотрудники!A330&lt;&gt;"",Сотрудники!A330,"")</f>
        <v/>
      </c>
      <c r="B323" s="1" t="str">
        <f>IF(Сотрудники!B330 &lt;&gt; "",Сотрудники!B330,"")</f>
        <v/>
      </c>
    </row>
    <row r="324" spans="1:2" s="1" customFormat="1" x14ac:dyDescent="0.25">
      <c r="A324" s="2" t="str">
        <f>IF(Сотрудники!A331&lt;&gt;"",Сотрудники!A331,"")</f>
        <v/>
      </c>
      <c r="B324" s="1" t="str">
        <f>IF(Сотрудники!B331 &lt;&gt; "",Сотрудники!B331,"")</f>
        <v/>
      </c>
    </row>
    <row r="325" spans="1:2" s="1" customFormat="1" x14ac:dyDescent="0.25">
      <c r="A325" s="2" t="str">
        <f>IF(Сотрудники!A332&lt;&gt;"",Сотрудники!A332,"")</f>
        <v/>
      </c>
      <c r="B325" s="1" t="str">
        <f>IF(Сотрудники!B332 &lt;&gt; "",Сотрудники!B332,"")</f>
        <v/>
      </c>
    </row>
    <row r="326" spans="1:2" s="1" customFormat="1" x14ac:dyDescent="0.25">
      <c r="A326" s="2" t="str">
        <f>IF(Сотрудники!A333&lt;&gt;"",Сотрудники!A333,"")</f>
        <v/>
      </c>
      <c r="B326" s="1" t="str">
        <f>IF(Сотрудники!B333 &lt;&gt; "",Сотрудники!B333,"")</f>
        <v/>
      </c>
    </row>
    <row r="327" spans="1:2" s="1" customFormat="1" x14ac:dyDescent="0.25">
      <c r="A327" s="2" t="str">
        <f>IF(Сотрудники!A334&lt;&gt;"",Сотрудники!A334,"")</f>
        <v/>
      </c>
      <c r="B327" s="1" t="str">
        <f>IF(Сотрудники!B334 &lt;&gt; "",Сотрудники!B334,"")</f>
        <v/>
      </c>
    </row>
    <row r="328" spans="1:2" s="1" customFormat="1" x14ac:dyDescent="0.25">
      <c r="A328" s="2" t="str">
        <f>IF(Сотрудники!A335&lt;&gt;"",Сотрудники!A335,"")</f>
        <v/>
      </c>
      <c r="B328" s="1" t="str">
        <f>IF(Сотрудники!B335 &lt;&gt; "",Сотрудники!B335,"")</f>
        <v/>
      </c>
    </row>
    <row r="329" spans="1:2" s="1" customFormat="1" x14ac:dyDescent="0.25">
      <c r="A329" s="2" t="str">
        <f>IF(Сотрудники!A336&lt;&gt;"",Сотрудники!A336,"")</f>
        <v/>
      </c>
      <c r="B329" s="1" t="str">
        <f>IF(Сотрудники!B336 &lt;&gt; "",Сотрудники!B336,"")</f>
        <v/>
      </c>
    </row>
    <row r="330" spans="1:2" s="1" customFormat="1" x14ac:dyDescent="0.25">
      <c r="A330" s="2" t="str">
        <f>IF(Сотрудники!A337&lt;&gt;"",Сотрудники!A337,"")</f>
        <v/>
      </c>
      <c r="B330" s="1" t="str">
        <f>IF(Сотрудники!B337 &lt;&gt; "",Сотрудники!B337,"")</f>
        <v/>
      </c>
    </row>
    <row r="331" spans="1:2" s="1" customFormat="1" x14ac:dyDescent="0.25">
      <c r="A331" s="2" t="str">
        <f>IF(Сотрудники!A338&lt;&gt;"",Сотрудники!A338,"")</f>
        <v/>
      </c>
      <c r="B331" s="1" t="str">
        <f>IF(Сотрудники!B338 &lt;&gt; "",Сотрудники!B338,"")</f>
        <v/>
      </c>
    </row>
    <row r="332" spans="1:2" s="1" customFormat="1" x14ac:dyDescent="0.25">
      <c r="A332" s="2" t="str">
        <f>IF(Сотрудники!A339&lt;&gt;"",Сотрудники!A339,"")</f>
        <v/>
      </c>
      <c r="B332" s="1" t="str">
        <f>IF(Сотрудники!B339 &lt;&gt; "",Сотрудники!B339,"")</f>
        <v/>
      </c>
    </row>
    <row r="333" spans="1:2" s="1" customFormat="1" x14ac:dyDescent="0.25">
      <c r="A333" s="2" t="str">
        <f>IF(Сотрудники!A340&lt;&gt;"",Сотрудники!A340,"")</f>
        <v/>
      </c>
      <c r="B333" s="1" t="str">
        <f>IF(Сотрудники!B340 &lt;&gt; "",Сотрудники!B340,"")</f>
        <v/>
      </c>
    </row>
    <row r="334" spans="1:2" s="1" customFormat="1" x14ac:dyDescent="0.25">
      <c r="A334" s="2" t="str">
        <f>IF(Сотрудники!A341&lt;&gt;"",Сотрудники!A341,"")</f>
        <v/>
      </c>
      <c r="B334" s="1" t="str">
        <f>IF(Сотрудники!B341 &lt;&gt; "",Сотрудники!B341,"")</f>
        <v/>
      </c>
    </row>
    <row r="335" spans="1:2" s="1" customFormat="1" x14ac:dyDescent="0.25">
      <c r="A335" s="2" t="str">
        <f>IF(Сотрудники!A342&lt;&gt;"",Сотрудники!A342,"")</f>
        <v/>
      </c>
      <c r="B335" s="1" t="str">
        <f>IF(Сотрудники!B342 &lt;&gt; "",Сотрудники!B342,"")</f>
        <v/>
      </c>
    </row>
    <row r="336" spans="1:2" s="1" customFormat="1" x14ac:dyDescent="0.25">
      <c r="A336" s="2" t="str">
        <f>IF(Сотрудники!A343&lt;&gt;"",Сотрудники!A343,"")</f>
        <v/>
      </c>
      <c r="B336" s="1" t="str">
        <f>IF(Сотрудники!B343 &lt;&gt; "",Сотрудники!B343,"")</f>
        <v/>
      </c>
    </row>
    <row r="337" spans="1:2" s="1" customFormat="1" x14ac:dyDescent="0.25">
      <c r="A337" s="2" t="str">
        <f>IF(Сотрудники!A344&lt;&gt;"",Сотрудники!A344,"")</f>
        <v/>
      </c>
      <c r="B337" s="1" t="str">
        <f>IF(Сотрудники!B344 &lt;&gt; "",Сотрудники!B344,"")</f>
        <v/>
      </c>
    </row>
    <row r="338" spans="1:2" s="1" customFormat="1" x14ac:dyDescent="0.25">
      <c r="A338" s="2" t="str">
        <f>IF(Сотрудники!A345&lt;&gt;"",Сотрудники!A345,"")</f>
        <v/>
      </c>
      <c r="B338" s="1" t="str">
        <f>IF(Сотрудники!B345 &lt;&gt; "",Сотрудники!B345,"")</f>
        <v/>
      </c>
    </row>
    <row r="339" spans="1:2" s="1" customFormat="1" x14ac:dyDescent="0.25">
      <c r="A339" s="2" t="str">
        <f>IF(Сотрудники!A346&lt;&gt;"",Сотрудники!A346,"")</f>
        <v/>
      </c>
      <c r="B339" s="1" t="str">
        <f>IF(Сотрудники!B346 &lt;&gt; "",Сотрудники!B346,"")</f>
        <v/>
      </c>
    </row>
    <row r="340" spans="1:2" s="1" customFormat="1" x14ac:dyDescent="0.25">
      <c r="A340" s="2" t="str">
        <f>IF(Сотрудники!A347&lt;&gt;"",Сотрудники!A347,"")</f>
        <v/>
      </c>
      <c r="B340" s="1" t="str">
        <f>IF(Сотрудники!B347 &lt;&gt; "",Сотрудники!B347,"")</f>
        <v/>
      </c>
    </row>
    <row r="341" spans="1:2" s="1" customFormat="1" x14ac:dyDescent="0.25">
      <c r="A341" s="2" t="str">
        <f>IF(Сотрудники!A348&lt;&gt;"",Сотрудники!A348,"")</f>
        <v/>
      </c>
      <c r="B341" s="1" t="str">
        <f>IF(Сотрудники!B348 &lt;&gt; "",Сотрудники!B348,"")</f>
        <v/>
      </c>
    </row>
    <row r="342" spans="1:2" s="1" customFormat="1" x14ac:dyDescent="0.25">
      <c r="A342" s="2" t="str">
        <f>IF(Сотрудники!A349&lt;&gt;"",Сотрудники!A349,"")</f>
        <v/>
      </c>
      <c r="B342" s="1" t="str">
        <f>IF(Сотрудники!B349 &lt;&gt; "",Сотрудники!B349,"")</f>
        <v/>
      </c>
    </row>
    <row r="343" spans="1:2" s="1" customFormat="1" x14ac:dyDescent="0.25">
      <c r="A343" s="2" t="str">
        <f>IF(Сотрудники!A350&lt;&gt;"",Сотрудники!A350,"")</f>
        <v/>
      </c>
      <c r="B343" s="1" t="str">
        <f>IF(Сотрудники!B350 &lt;&gt; "",Сотрудники!B350,"")</f>
        <v/>
      </c>
    </row>
    <row r="344" spans="1:2" s="1" customFormat="1" x14ac:dyDescent="0.25">
      <c r="A344" s="2" t="str">
        <f>IF(Сотрудники!A351&lt;&gt;"",Сотрудники!A351,"")</f>
        <v/>
      </c>
      <c r="B344" s="1" t="str">
        <f>IF(Сотрудники!B351 &lt;&gt; "",Сотрудники!B351,"")</f>
        <v/>
      </c>
    </row>
    <row r="345" spans="1:2" s="1" customFormat="1" x14ac:dyDescent="0.25">
      <c r="A345" s="2" t="str">
        <f>IF(Сотрудники!A352&lt;&gt;"",Сотрудники!A352,"")</f>
        <v/>
      </c>
      <c r="B345" s="1" t="str">
        <f>IF(Сотрудники!B352 &lt;&gt; "",Сотрудники!B352,"")</f>
        <v/>
      </c>
    </row>
    <row r="346" spans="1:2" s="1" customFormat="1" x14ac:dyDescent="0.25">
      <c r="A346" s="2" t="str">
        <f>IF(Сотрудники!A353&lt;&gt;"",Сотрудники!A353,"")</f>
        <v/>
      </c>
      <c r="B346" s="1" t="str">
        <f>IF(Сотрудники!B353 &lt;&gt; "",Сотрудники!B353,"")</f>
        <v/>
      </c>
    </row>
    <row r="347" spans="1:2" s="1" customFormat="1" x14ac:dyDescent="0.25">
      <c r="A347" s="2" t="str">
        <f>IF(Сотрудники!A354&lt;&gt;"",Сотрудники!A354,"")</f>
        <v/>
      </c>
      <c r="B347" s="1" t="str">
        <f>IF(Сотрудники!B354 &lt;&gt; "",Сотрудники!B354,"")</f>
        <v/>
      </c>
    </row>
    <row r="348" spans="1:2" s="1" customFormat="1" x14ac:dyDescent="0.25">
      <c r="A348" s="2" t="str">
        <f>IF(Сотрудники!A355&lt;&gt;"",Сотрудники!A355,"")</f>
        <v/>
      </c>
      <c r="B348" s="1" t="str">
        <f>IF(Сотрудники!B355 &lt;&gt; "",Сотрудники!B355,"")</f>
        <v/>
      </c>
    </row>
    <row r="349" spans="1:2" s="1" customFormat="1" x14ac:dyDescent="0.25">
      <c r="A349" s="2" t="str">
        <f>IF(Сотрудники!A356&lt;&gt;"",Сотрудники!A356,"")</f>
        <v/>
      </c>
      <c r="B349" s="1" t="str">
        <f>IF(Сотрудники!B356 &lt;&gt; "",Сотрудники!B356,"")</f>
        <v/>
      </c>
    </row>
    <row r="350" spans="1:2" s="1" customFormat="1" x14ac:dyDescent="0.25">
      <c r="A350" s="2" t="str">
        <f>IF(Сотрудники!A357&lt;&gt;"",Сотрудники!A357,"")</f>
        <v/>
      </c>
      <c r="B350" s="1" t="str">
        <f>IF(Сотрудники!B357 &lt;&gt; "",Сотрудники!B357,"")</f>
        <v/>
      </c>
    </row>
    <row r="351" spans="1:2" s="1" customFormat="1" x14ac:dyDescent="0.25">
      <c r="A351" s="2" t="str">
        <f>IF(Сотрудники!A358&lt;&gt;"",Сотрудники!A358,"")</f>
        <v/>
      </c>
      <c r="B351" s="1" t="str">
        <f>IF(Сотрудники!B358 &lt;&gt; "",Сотрудники!B358,"")</f>
        <v/>
      </c>
    </row>
    <row r="352" spans="1:2" s="1" customFormat="1" x14ac:dyDescent="0.25">
      <c r="A352" s="2" t="str">
        <f>IF(Сотрудники!A359&lt;&gt;"",Сотрудники!A359,"")</f>
        <v/>
      </c>
      <c r="B352" s="1" t="str">
        <f>IF(Сотрудники!B359 &lt;&gt; "",Сотрудники!B359,"")</f>
        <v/>
      </c>
    </row>
    <row r="353" spans="1:2" s="1" customFormat="1" x14ac:dyDescent="0.25">
      <c r="A353" s="2" t="str">
        <f>IF(Сотрудники!A360&lt;&gt;"",Сотрудники!A360,"")</f>
        <v/>
      </c>
      <c r="B353" s="1" t="str">
        <f>IF(Сотрудники!B360 &lt;&gt; "",Сотрудники!B360,"")</f>
        <v/>
      </c>
    </row>
    <row r="354" spans="1:2" s="1" customFormat="1" x14ac:dyDescent="0.25">
      <c r="A354" s="2" t="str">
        <f>IF(Сотрудники!A361&lt;&gt;"",Сотрудники!A361,"")</f>
        <v/>
      </c>
      <c r="B354" s="1" t="str">
        <f>IF(Сотрудники!B361 &lt;&gt; "",Сотрудники!B361,"")</f>
        <v/>
      </c>
    </row>
    <row r="355" spans="1:2" s="1" customFormat="1" x14ac:dyDescent="0.25">
      <c r="A355" s="2" t="str">
        <f>IF(Сотрудники!A362&lt;&gt;"",Сотрудники!A362,"")</f>
        <v/>
      </c>
      <c r="B355" s="1" t="str">
        <f>IF(Сотрудники!B362 &lt;&gt; "",Сотрудники!B362,"")</f>
        <v/>
      </c>
    </row>
    <row r="356" spans="1:2" s="1" customFormat="1" x14ac:dyDescent="0.25">
      <c r="A356" s="2" t="str">
        <f>IF(Сотрудники!A363&lt;&gt;"",Сотрудники!A363,"")</f>
        <v/>
      </c>
      <c r="B356" s="1" t="str">
        <f>IF(Сотрудники!B363 &lt;&gt; "",Сотрудники!B363,"")</f>
        <v/>
      </c>
    </row>
    <row r="357" spans="1:2" s="1" customFormat="1" x14ac:dyDescent="0.25">
      <c r="A357" s="2" t="str">
        <f>IF(Сотрудники!A364&lt;&gt;"",Сотрудники!A364,"")</f>
        <v/>
      </c>
      <c r="B357" s="1" t="str">
        <f>IF(Сотрудники!B364 &lt;&gt; "",Сотрудники!B364,"")</f>
        <v/>
      </c>
    </row>
    <row r="358" spans="1:2" s="1" customFormat="1" x14ac:dyDescent="0.25">
      <c r="A358" s="2" t="str">
        <f>IF(Сотрудники!A365&lt;&gt;"",Сотрудники!A365,"")</f>
        <v/>
      </c>
      <c r="B358" s="1" t="str">
        <f>IF(Сотрудники!B365 &lt;&gt; "",Сотрудники!B365,"")</f>
        <v/>
      </c>
    </row>
    <row r="359" spans="1:2" s="1" customFormat="1" x14ac:dyDescent="0.25">
      <c r="A359" s="2" t="str">
        <f>IF(Сотрудники!A366&lt;&gt;"",Сотрудники!A366,"")</f>
        <v/>
      </c>
      <c r="B359" s="1" t="str">
        <f>IF(Сотрудники!B366 &lt;&gt; "",Сотрудники!B366,"")</f>
        <v/>
      </c>
    </row>
    <row r="360" spans="1:2" s="1" customFormat="1" x14ac:dyDescent="0.25">
      <c r="A360" s="2" t="str">
        <f>IF(Сотрудники!A367&lt;&gt;"",Сотрудники!A367,"")</f>
        <v/>
      </c>
      <c r="B360" s="1" t="str">
        <f>IF(Сотрудники!B367 &lt;&gt; "",Сотрудники!B367,"")</f>
        <v/>
      </c>
    </row>
    <row r="361" spans="1:2" s="1" customFormat="1" x14ac:dyDescent="0.25">
      <c r="A361" s="2" t="str">
        <f>IF(Сотрудники!A368&lt;&gt;"",Сотрудники!A368,"")</f>
        <v/>
      </c>
      <c r="B361" s="1" t="str">
        <f>IF(Сотрудники!B368 &lt;&gt; "",Сотрудники!B368,"")</f>
        <v/>
      </c>
    </row>
    <row r="362" spans="1:2" s="1" customFormat="1" x14ac:dyDescent="0.25">
      <c r="A362" s="2" t="str">
        <f>IF(Сотрудники!A369&lt;&gt;"",Сотрудники!A369,"")</f>
        <v/>
      </c>
      <c r="B362" s="1" t="str">
        <f>IF(Сотрудники!B369 &lt;&gt; "",Сотрудники!B369,"")</f>
        <v/>
      </c>
    </row>
    <row r="363" spans="1:2" s="1" customFormat="1" x14ac:dyDescent="0.25">
      <c r="A363" s="2" t="str">
        <f>IF(Сотрудники!A370&lt;&gt;"",Сотрудники!A370,"")</f>
        <v/>
      </c>
      <c r="B363" s="1" t="str">
        <f>IF(Сотрудники!B370 &lt;&gt; "",Сотрудники!B370,"")</f>
        <v/>
      </c>
    </row>
    <row r="364" spans="1:2" s="1" customFormat="1" x14ac:dyDescent="0.25">
      <c r="A364" s="2" t="str">
        <f>IF(Сотрудники!A371&lt;&gt;"",Сотрудники!A371,"")</f>
        <v/>
      </c>
      <c r="B364" s="1" t="str">
        <f>IF(Сотрудники!B371 &lt;&gt; "",Сотрудники!B371,"")</f>
        <v/>
      </c>
    </row>
    <row r="365" spans="1:2" s="1" customFormat="1" x14ac:dyDescent="0.25">
      <c r="A365" s="2" t="str">
        <f>IF(Сотрудники!A372&lt;&gt;"",Сотрудники!A372,"")</f>
        <v/>
      </c>
      <c r="B365" s="1" t="str">
        <f>IF(Сотрудники!B372 &lt;&gt; "",Сотрудники!B372,"")</f>
        <v/>
      </c>
    </row>
    <row r="366" spans="1:2" s="1" customFormat="1" x14ac:dyDescent="0.25">
      <c r="A366" s="2" t="str">
        <f>IF(Сотрудники!A373&lt;&gt;"",Сотрудники!A373,"")</f>
        <v/>
      </c>
      <c r="B366" s="1" t="str">
        <f>IF(Сотрудники!B373 &lt;&gt; "",Сотрудники!B373,"")</f>
        <v/>
      </c>
    </row>
    <row r="367" spans="1:2" s="1" customFormat="1" x14ac:dyDescent="0.25">
      <c r="A367" s="2" t="str">
        <f>IF(Сотрудники!A374&lt;&gt;"",Сотрудники!A374,"")</f>
        <v/>
      </c>
      <c r="B367" s="1" t="str">
        <f>IF(Сотрудники!B374 &lt;&gt; "",Сотрудники!B374,"")</f>
        <v/>
      </c>
    </row>
    <row r="368" spans="1:2" s="1" customFormat="1" x14ac:dyDescent="0.25">
      <c r="A368" s="2" t="str">
        <f>IF(Сотрудники!A375&lt;&gt;"",Сотрудники!A375,"")</f>
        <v/>
      </c>
      <c r="B368" s="1" t="str">
        <f>IF(Сотрудники!B375 &lt;&gt; "",Сотрудники!B375,"")</f>
        <v/>
      </c>
    </row>
    <row r="369" spans="1:2" s="1" customFormat="1" x14ac:dyDescent="0.25">
      <c r="A369" s="2" t="str">
        <f>IF(Сотрудники!A376&lt;&gt;"",Сотрудники!A376,"")</f>
        <v/>
      </c>
      <c r="B369" s="1" t="str">
        <f>IF(Сотрудники!B376 &lt;&gt; "",Сотрудники!B376,"")</f>
        <v/>
      </c>
    </row>
    <row r="370" spans="1:2" s="1" customFormat="1" x14ac:dyDescent="0.25">
      <c r="A370" s="2" t="str">
        <f>IF(Сотрудники!A377&lt;&gt;"",Сотрудники!A377,"")</f>
        <v/>
      </c>
      <c r="B370" s="1" t="str">
        <f>IF(Сотрудники!B377 &lt;&gt; "",Сотрудники!B377,"")</f>
        <v/>
      </c>
    </row>
    <row r="371" spans="1:2" s="1" customFormat="1" x14ac:dyDescent="0.25">
      <c r="A371" s="2" t="str">
        <f>IF(Сотрудники!A378&lt;&gt;"",Сотрудники!A378,"")</f>
        <v/>
      </c>
      <c r="B371" s="1" t="str">
        <f>IF(Сотрудники!B378 &lt;&gt; "",Сотрудники!B378,"")</f>
        <v/>
      </c>
    </row>
    <row r="372" spans="1:2" s="1" customFormat="1" x14ac:dyDescent="0.25">
      <c r="A372" s="2" t="str">
        <f>IF(Сотрудники!A379&lt;&gt;"",Сотрудники!A379,"")</f>
        <v/>
      </c>
      <c r="B372" s="1" t="str">
        <f>IF(Сотрудники!B379 &lt;&gt; "",Сотрудники!B379,"")</f>
        <v/>
      </c>
    </row>
    <row r="373" spans="1:2" s="1" customFormat="1" x14ac:dyDescent="0.25">
      <c r="A373" s="2" t="str">
        <f>IF(Сотрудники!A380&lt;&gt;"",Сотрудники!A380,"")</f>
        <v/>
      </c>
      <c r="B373" s="1" t="str">
        <f>IF(Сотрудники!B380 &lt;&gt; "",Сотрудники!B380,"")</f>
        <v/>
      </c>
    </row>
    <row r="374" spans="1:2" s="1" customFormat="1" x14ac:dyDescent="0.25">
      <c r="A374" s="2" t="str">
        <f>IF(Сотрудники!A381&lt;&gt;"",Сотрудники!A381,"")</f>
        <v/>
      </c>
      <c r="B374" s="1" t="str">
        <f>IF(Сотрудники!B381 &lt;&gt; "",Сотрудники!B381,"")</f>
        <v/>
      </c>
    </row>
    <row r="375" spans="1:2" s="1" customFormat="1" x14ac:dyDescent="0.25">
      <c r="A375" s="2" t="str">
        <f>IF(Сотрудники!A382&lt;&gt;"",Сотрудники!A382,"")</f>
        <v/>
      </c>
      <c r="B375" s="1" t="str">
        <f>IF(Сотрудники!B382 &lt;&gt; "",Сотрудники!B382,"")</f>
        <v/>
      </c>
    </row>
    <row r="376" spans="1:2" s="1" customFormat="1" x14ac:dyDescent="0.25">
      <c r="A376" s="2" t="str">
        <f>IF(Сотрудники!A383&lt;&gt;"",Сотрудники!A383,"")</f>
        <v/>
      </c>
      <c r="B376" s="1" t="str">
        <f>IF(Сотрудники!B383 &lt;&gt; "",Сотрудники!B383,"")</f>
        <v/>
      </c>
    </row>
    <row r="377" spans="1:2" s="1" customFormat="1" x14ac:dyDescent="0.25">
      <c r="A377" s="2" t="str">
        <f>IF(Сотрудники!A384&lt;&gt;"",Сотрудники!A384,"")</f>
        <v/>
      </c>
      <c r="B377" s="1" t="str">
        <f>IF(Сотрудники!B384 &lt;&gt; "",Сотрудники!B384,"")</f>
        <v/>
      </c>
    </row>
    <row r="378" spans="1:2" s="1" customFormat="1" x14ac:dyDescent="0.25">
      <c r="A378" s="2" t="str">
        <f>IF(Сотрудники!A385&lt;&gt;"",Сотрудники!A385,"")</f>
        <v/>
      </c>
      <c r="B378" s="1" t="str">
        <f>IF(Сотрудники!B385 &lt;&gt; "",Сотрудники!B385,"")</f>
        <v/>
      </c>
    </row>
    <row r="379" spans="1:2" s="1" customFormat="1" x14ac:dyDescent="0.25">
      <c r="A379" s="2" t="str">
        <f>IF(Сотрудники!A386&lt;&gt;"",Сотрудники!A386,"")</f>
        <v/>
      </c>
      <c r="B379" s="1" t="str">
        <f>IF(Сотрудники!B386 &lt;&gt; "",Сотрудники!B386,"")</f>
        <v/>
      </c>
    </row>
    <row r="380" spans="1:2" s="1" customFormat="1" x14ac:dyDescent="0.25">
      <c r="A380" s="2" t="str">
        <f>IF(Сотрудники!A387&lt;&gt;"",Сотрудники!A387,"")</f>
        <v/>
      </c>
      <c r="B380" s="1" t="str">
        <f>IF(Сотрудники!B387 &lt;&gt; "",Сотрудники!B387,"")</f>
        <v/>
      </c>
    </row>
    <row r="381" spans="1:2" s="1" customFormat="1" x14ac:dyDescent="0.25">
      <c r="A381" s="2" t="str">
        <f>IF(Сотрудники!A388&lt;&gt;"",Сотрудники!A388,"")</f>
        <v/>
      </c>
      <c r="B381" s="1" t="str">
        <f>IF(Сотрудники!B388 &lt;&gt; "",Сотрудники!B388,"")</f>
        <v/>
      </c>
    </row>
    <row r="382" spans="1:2" s="1" customFormat="1" x14ac:dyDescent="0.25">
      <c r="A382" s="2" t="str">
        <f>IF(Сотрудники!A389&lt;&gt;"",Сотрудники!A389,"")</f>
        <v/>
      </c>
      <c r="B382" s="1" t="str">
        <f>IF(Сотрудники!B389 &lt;&gt; "",Сотрудники!B389,"")</f>
        <v/>
      </c>
    </row>
    <row r="383" spans="1:2" s="1" customFormat="1" x14ac:dyDescent="0.25">
      <c r="A383" s="2" t="str">
        <f>IF(Сотрудники!A390&lt;&gt;"",Сотрудники!A390,"")</f>
        <v/>
      </c>
      <c r="B383" s="1" t="str">
        <f>IF(Сотрудники!B390 &lt;&gt; "",Сотрудники!B390,"")</f>
        <v/>
      </c>
    </row>
    <row r="384" spans="1:2" s="1" customFormat="1" x14ac:dyDescent="0.25">
      <c r="A384" s="2" t="str">
        <f>IF(Сотрудники!A391&lt;&gt;"",Сотрудники!A391,"")</f>
        <v/>
      </c>
      <c r="B384" s="1" t="str">
        <f>IF(Сотрудники!B391 &lt;&gt; "",Сотрудники!B391,"")</f>
        <v/>
      </c>
    </row>
    <row r="385" spans="1:2" s="1" customFormat="1" x14ac:dyDescent="0.25">
      <c r="A385" s="2" t="str">
        <f>IF(Сотрудники!A392&lt;&gt;"",Сотрудники!A392,"")</f>
        <v/>
      </c>
      <c r="B385" s="1" t="str">
        <f>IF(Сотрудники!B392 &lt;&gt; "",Сотрудники!B392,"")</f>
        <v/>
      </c>
    </row>
    <row r="386" spans="1:2" s="1" customFormat="1" x14ac:dyDescent="0.25">
      <c r="A386" s="2" t="str">
        <f>IF(Сотрудники!A393&lt;&gt;"",Сотрудники!A393,"")</f>
        <v/>
      </c>
      <c r="B386" s="1" t="str">
        <f>IF(Сотрудники!B393 &lt;&gt; "",Сотрудники!B393,"")</f>
        <v/>
      </c>
    </row>
    <row r="387" spans="1:2" s="1" customFormat="1" x14ac:dyDescent="0.25">
      <c r="A387" s="2" t="str">
        <f>IF(Сотрудники!A394&lt;&gt;"",Сотрудники!A394,"")</f>
        <v/>
      </c>
      <c r="B387" s="1" t="str">
        <f>IF(Сотрудники!B394 &lt;&gt; "",Сотрудники!B394,"")</f>
        <v/>
      </c>
    </row>
    <row r="388" spans="1:2" s="1" customFormat="1" x14ac:dyDescent="0.25">
      <c r="A388" s="2" t="str">
        <f>IF(Сотрудники!A395&lt;&gt;"",Сотрудники!A395,"")</f>
        <v/>
      </c>
      <c r="B388" s="1" t="str">
        <f>IF(Сотрудники!B395 &lt;&gt; "",Сотрудники!B395,"")</f>
        <v/>
      </c>
    </row>
    <row r="389" spans="1:2" s="1" customFormat="1" x14ac:dyDescent="0.25">
      <c r="A389" s="2" t="str">
        <f>IF(Сотрудники!A396&lt;&gt;"",Сотрудники!A396,"")</f>
        <v/>
      </c>
      <c r="B389" s="1" t="str">
        <f>IF(Сотрудники!B396 &lt;&gt; "",Сотрудники!B396,"")</f>
        <v/>
      </c>
    </row>
    <row r="390" spans="1:2" s="1" customFormat="1" x14ac:dyDescent="0.25">
      <c r="A390" s="2" t="str">
        <f>IF(Сотрудники!A397&lt;&gt;"",Сотрудники!A397,"")</f>
        <v/>
      </c>
      <c r="B390" s="1" t="str">
        <f>IF(Сотрудники!B397 &lt;&gt; "",Сотрудники!B397,"")</f>
        <v/>
      </c>
    </row>
    <row r="391" spans="1:2" s="1" customFormat="1" x14ac:dyDescent="0.25">
      <c r="A391" s="2" t="str">
        <f>IF(Сотрудники!A398&lt;&gt;"",Сотрудники!A398,"")</f>
        <v/>
      </c>
      <c r="B391" s="1" t="str">
        <f>IF(Сотрудники!B398 &lt;&gt; "",Сотрудники!B398,"")</f>
        <v/>
      </c>
    </row>
    <row r="392" spans="1:2" s="1" customFormat="1" x14ac:dyDescent="0.25">
      <c r="A392" s="2" t="str">
        <f>IF(Сотрудники!A399&lt;&gt;"",Сотрудники!A399,"")</f>
        <v/>
      </c>
      <c r="B392" s="1" t="str">
        <f>IF(Сотрудники!B399 &lt;&gt; "",Сотрудники!B399,"")</f>
        <v/>
      </c>
    </row>
    <row r="393" spans="1:2" s="1" customFormat="1" x14ac:dyDescent="0.25">
      <c r="A393" s="2" t="str">
        <f>IF(Сотрудники!A400&lt;&gt;"",Сотрудники!A400,"")</f>
        <v/>
      </c>
      <c r="B393" s="1" t="str">
        <f>IF(Сотрудники!B400 &lt;&gt; "",Сотрудники!B400,"")</f>
        <v/>
      </c>
    </row>
    <row r="394" spans="1:2" s="1" customFormat="1" x14ac:dyDescent="0.25">
      <c r="A394" s="2" t="str">
        <f>IF(Сотрудники!A401&lt;&gt;"",Сотрудники!A401,"")</f>
        <v/>
      </c>
      <c r="B394" s="1" t="str">
        <f>IF(Сотрудники!B401 &lt;&gt; "",Сотрудники!B401,"")</f>
        <v/>
      </c>
    </row>
    <row r="395" spans="1:2" s="1" customFormat="1" x14ac:dyDescent="0.25">
      <c r="A395" s="2" t="str">
        <f>IF(Сотрудники!A402&lt;&gt;"",Сотрудники!A402,"")</f>
        <v/>
      </c>
      <c r="B395" s="1" t="str">
        <f>IF(Сотрудники!B402 &lt;&gt; "",Сотрудники!B402,"")</f>
        <v/>
      </c>
    </row>
    <row r="396" spans="1:2" s="1" customFormat="1" x14ac:dyDescent="0.25">
      <c r="A396" s="2" t="str">
        <f>IF(Сотрудники!A403&lt;&gt;"",Сотрудники!A403,"")</f>
        <v/>
      </c>
      <c r="B396" s="1" t="str">
        <f>IF(Сотрудники!B403 &lt;&gt; "",Сотрудники!B403,"")</f>
        <v/>
      </c>
    </row>
    <row r="397" spans="1:2" s="1" customFormat="1" x14ac:dyDescent="0.25">
      <c r="A397" s="2" t="str">
        <f>IF(Сотрудники!A404&lt;&gt;"",Сотрудники!A404,"")</f>
        <v/>
      </c>
      <c r="B397" s="1" t="str">
        <f>IF(Сотрудники!B404 &lt;&gt; "",Сотрудники!B404,"")</f>
        <v/>
      </c>
    </row>
    <row r="398" spans="1:2" s="1" customFormat="1" x14ac:dyDescent="0.25">
      <c r="A398" s="2" t="str">
        <f>IF(Сотрудники!A405&lt;&gt;"",Сотрудники!A405,"")</f>
        <v/>
      </c>
      <c r="B398" s="1" t="str">
        <f>IF(Сотрудники!B405 &lt;&gt; "",Сотрудники!B405,"")</f>
        <v/>
      </c>
    </row>
    <row r="399" spans="1:2" s="1" customFormat="1" x14ac:dyDescent="0.25">
      <c r="A399" s="2" t="str">
        <f>IF(Сотрудники!A406&lt;&gt;"",Сотрудники!A406,"")</f>
        <v/>
      </c>
      <c r="B399" s="1" t="str">
        <f>IF(Сотрудники!B406 &lt;&gt; "",Сотрудники!B406,"")</f>
        <v/>
      </c>
    </row>
    <row r="400" spans="1:2" s="1" customFormat="1" x14ac:dyDescent="0.25">
      <c r="A400" s="2" t="str">
        <f>IF(Сотрудники!A407&lt;&gt;"",Сотрудники!A407,"")</f>
        <v/>
      </c>
      <c r="B400" s="1" t="str">
        <f>IF(Сотрудники!B407 &lt;&gt; "",Сотрудники!B407,"")</f>
        <v/>
      </c>
    </row>
    <row r="401" spans="1:2" s="1" customFormat="1" x14ac:dyDescent="0.25">
      <c r="A401" s="2" t="str">
        <f>IF(Сотрудники!A408&lt;&gt;"",Сотрудники!A408,"")</f>
        <v/>
      </c>
      <c r="B401" s="1" t="str">
        <f>IF(Сотрудники!B408 &lt;&gt; "",Сотрудники!B408,"")</f>
        <v/>
      </c>
    </row>
    <row r="402" spans="1:2" s="1" customFormat="1" x14ac:dyDescent="0.25">
      <c r="A402" s="2" t="str">
        <f>IF(Сотрудники!A409&lt;&gt;"",Сотрудники!A409,"")</f>
        <v/>
      </c>
      <c r="B402" s="1" t="str">
        <f>IF(Сотрудники!B409 &lt;&gt; "",Сотрудники!B409,"")</f>
        <v/>
      </c>
    </row>
    <row r="403" spans="1:2" s="1" customFormat="1" x14ac:dyDescent="0.25">
      <c r="A403" s="2" t="str">
        <f>IF(Сотрудники!A410&lt;&gt;"",Сотрудники!A410,"")</f>
        <v/>
      </c>
      <c r="B403" s="1" t="str">
        <f>IF(Сотрудники!B410 &lt;&gt; "",Сотрудники!B410,"")</f>
        <v/>
      </c>
    </row>
    <row r="404" spans="1:2" s="1" customFormat="1" x14ac:dyDescent="0.25">
      <c r="A404" s="2" t="str">
        <f>IF(Сотрудники!A411&lt;&gt;"",Сотрудники!A411,"")</f>
        <v/>
      </c>
      <c r="B404" s="1" t="str">
        <f>IF(Сотрудники!B411 &lt;&gt; "",Сотрудники!B411,"")</f>
        <v/>
      </c>
    </row>
    <row r="405" spans="1:2" s="1" customFormat="1" x14ac:dyDescent="0.25">
      <c r="A405" s="2" t="str">
        <f>IF(Сотрудники!A412&lt;&gt;"",Сотрудники!A412,"")</f>
        <v/>
      </c>
      <c r="B405" s="1" t="str">
        <f>IF(Сотрудники!B412 &lt;&gt; "",Сотрудники!B412,"")</f>
        <v/>
      </c>
    </row>
    <row r="406" spans="1:2" s="1" customFormat="1" x14ac:dyDescent="0.25">
      <c r="A406" s="2" t="str">
        <f>IF(Сотрудники!A413&lt;&gt;"",Сотрудники!A413,"")</f>
        <v/>
      </c>
      <c r="B406" s="1" t="str">
        <f>IF(Сотрудники!B413 &lt;&gt; "",Сотрудники!B413,"")</f>
        <v/>
      </c>
    </row>
    <row r="407" spans="1:2" s="1" customFormat="1" x14ac:dyDescent="0.25">
      <c r="A407" s="2" t="str">
        <f>IF(Сотрудники!A414&lt;&gt;"",Сотрудники!A414,"")</f>
        <v/>
      </c>
      <c r="B407" s="1" t="str">
        <f>IF(Сотрудники!B414 &lt;&gt; "",Сотрудники!B414,"")</f>
        <v/>
      </c>
    </row>
    <row r="408" spans="1:2" s="1" customFormat="1" x14ac:dyDescent="0.25">
      <c r="A408" s="2" t="str">
        <f>IF(Сотрудники!A415&lt;&gt;"",Сотрудники!A415,"")</f>
        <v/>
      </c>
      <c r="B408" s="1" t="str">
        <f>IF(Сотрудники!B415 &lt;&gt; "",Сотрудники!B415,"")</f>
        <v/>
      </c>
    </row>
    <row r="409" spans="1:2" s="1" customFormat="1" x14ac:dyDescent="0.25">
      <c r="A409" s="2" t="str">
        <f>IF(Сотрудники!A416&lt;&gt;"",Сотрудники!A416,"")</f>
        <v/>
      </c>
      <c r="B409" s="1" t="str">
        <f>IF(Сотрудники!B416 &lt;&gt; "",Сотрудники!B416,"")</f>
        <v/>
      </c>
    </row>
    <row r="410" spans="1:2" s="1" customFormat="1" x14ac:dyDescent="0.25">
      <c r="A410" s="2" t="str">
        <f>IF(Сотрудники!A417&lt;&gt;"",Сотрудники!A417,"")</f>
        <v/>
      </c>
      <c r="B410" s="1" t="str">
        <f>IF(Сотрудники!B417 &lt;&gt; "",Сотрудники!B417,"")</f>
        <v/>
      </c>
    </row>
    <row r="411" spans="1:2" s="1" customFormat="1" x14ac:dyDescent="0.25">
      <c r="A411" s="2" t="str">
        <f>IF(Сотрудники!A418&lt;&gt;"",Сотрудники!A418,"")</f>
        <v/>
      </c>
      <c r="B411" s="1" t="str">
        <f>IF(Сотрудники!B418 &lt;&gt; "",Сотрудники!B418,"")</f>
        <v/>
      </c>
    </row>
    <row r="412" spans="1:2" s="1" customFormat="1" x14ac:dyDescent="0.25">
      <c r="A412" s="2" t="str">
        <f>IF(Сотрудники!A419&lt;&gt;"",Сотрудники!A419,"")</f>
        <v/>
      </c>
      <c r="B412" s="1" t="str">
        <f>IF(Сотрудники!B419 &lt;&gt; "",Сотрудники!B419,"")</f>
        <v/>
      </c>
    </row>
    <row r="413" spans="1:2" s="1" customFormat="1" x14ac:dyDescent="0.25">
      <c r="A413" s="2" t="str">
        <f>IF(Сотрудники!A420&lt;&gt;"",Сотрудники!A420,"")</f>
        <v/>
      </c>
      <c r="B413" s="1" t="str">
        <f>IF(Сотрудники!B420 &lt;&gt; "",Сотрудники!B420,"")</f>
        <v/>
      </c>
    </row>
    <row r="414" spans="1:2" s="1" customFormat="1" x14ac:dyDescent="0.25">
      <c r="A414" s="2" t="str">
        <f>IF(Сотрудники!A421&lt;&gt;"",Сотрудники!A421,"")</f>
        <v/>
      </c>
      <c r="B414" s="1" t="str">
        <f>IF(Сотрудники!B421 &lt;&gt; "",Сотрудники!B421,"")</f>
        <v/>
      </c>
    </row>
    <row r="415" spans="1:2" s="1" customFormat="1" x14ac:dyDescent="0.25">
      <c r="A415" s="2" t="str">
        <f>IF(Сотрудники!A422&lt;&gt;"",Сотрудники!A422,"")</f>
        <v/>
      </c>
      <c r="B415" s="1" t="str">
        <f>IF(Сотрудники!B422 &lt;&gt; "",Сотрудники!B422,"")</f>
        <v/>
      </c>
    </row>
    <row r="416" spans="1:2" s="1" customFormat="1" x14ac:dyDescent="0.25">
      <c r="A416" s="2" t="str">
        <f>IF(Сотрудники!A423&lt;&gt;"",Сотрудники!A423,"")</f>
        <v/>
      </c>
      <c r="B416" s="1" t="str">
        <f>IF(Сотрудники!B423 &lt;&gt; "",Сотрудники!B423,"")</f>
        <v/>
      </c>
    </row>
    <row r="417" spans="1:2" s="1" customFormat="1" x14ac:dyDescent="0.25">
      <c r="A417" s="2" t="str">
        <f>IF(Сотрудники!A424&lt;&gt;"",Сотрудники!A424,"")</f>
        <v/>
      </c>
      <c r="B417" s="1" t="str">
        <f>IF(Сотрудники!B424 &lt;&gt; "",Сотрудники!B424,"")</f>
        <v/>
      </c>
    </row>
    <row r="418" spans="1:2" s="1" customFormat="1" x14ac:dyDescent="0.25">
      <c r="A418" s="2" t="str">
        <f>IF(Сотрудники!A425&lt;&gt;"",Сотрудники!A425,"")</f>
        <v/>
      </c>
      <c r="B418" s="1" t="str">
        <f>IF(Сотрудники!B425 &lt;&gt; "",Сотрудники!B425,"")</f>
        <v/>
      </c>
    </row>
    <row r="419" spans="1:2" s="1" customFormat="1" x14ac:dyDescent="0.25">
      <c r="A419" s="2" t="str">
        <f>IF(Сотрудники!A426&lt;&gt;"",Сотрудники!A426,"")</f>
        <v/>
      </c>
      <c r="B419" s="1" t="str">
        <f>IF(Сотрудники!B426 &lt;&gt; "",Сотрудники!B426,"")</f>
        <v/>
      </c>
    </row>
    <row r="420" spans="1:2" s="1" customFormat="1" x14ac:dyDescent="0.25">
      <c r="A420" s="2" t="str">
        <f>IF(Сотрудники!A427&lt;&gt;"",Сотрудники!A427,"")</f>
        <v/>
      </c>
      <c r="B420" s="1" t="str">
        <f>IF(Сотрудники!B427 &lt;&gt; "",Сотрудники!B427,"")</f>
        <v/>
      </c>
    </row>
    <row r="421" spans="1:2" s="1" customFormat="1" x14ac:dyDescent="0.25">
      <c r="A421" s="2" t="str">
        <f>IF(Сотрудники!A428&lt;&gt;"",Сотрудники!A428,"")</f>
        <v/>
      </c>
      <c r="B421" s="1" t="str">
        <f>IF(Сотрудники!B428 &lt;&gt; "",Сотрудники!B428,"")</f>
        <v/>
      </c>
    </row>
    <row r="422" spans="1:2" s="1" customFormat="1" x14ac:dyDescent="0.25">
      <c r="A422" s="2" t="str">
        <f>IF(Сотрудники!A429&lt;&gt;"",Сотрудники!A429,"")</f>
        <v/>
      </c>
      <c r="B422" s="1" t="str">
        <f>IF(Сотрудники!B429 &lt;&gt; "",Сотрудники!B429,"")</f>
        <v/>
      </c>
    </row>
    <row r="423" spans="1:2" s="1" customFormat="1" x14ac:dyDescent="0.25">
      <c r="A423" s="2" t="str">
        <f>IF(Сотрудники!A430&lt;&gt;"",Сотрудники!A430,"")</f>
        <v/>
      </c>
      <c r="B423" s="1" t="str">
        <f>IF(Сотрудники!B430 &lt;&gt; "",Сотрудники!B430,"")</f>
        <v/>
      </c>
    </row>
    <row r="424" spans="1:2" s="1" customFormat="1" x14ac:dyDescent="0.25">
      <c r="A424" s="2" t="str">
        <f>IF(Сотрудники!A431&lt;&gt;"",Сотрудники!A431,"")</f>
        <v/>
      </c>
      <c r="B424" s="1" t="str">
        <f>IF(Сотрудники!B431 &lt;&gt; "",Сотрудники!B431,"")</f>
        <v/>
      </c>
    </row>
    <row r="425" spans="1:2" s="1" customFormat="1" x14ac:dyDescent="0.25">
      <c r="A425" s="2" t="str">
        <f>IF(Сотрудники!A432&lt;&gt;"",Сотрудники!A432,"")</f>
        <v/>
      </c>
      <c r="B425" s="1" t="str">
        <f>IF(Сотрудники!B432 &lt;&gt; "",Сотрудники!B432,"")</f>
        <v/>
      </c>
    </row>
    <row r="426" spans="1:2" s="1" customFormat="1" x14ac:dyDescent="0.25">
      <c r="A426" s="2" t="str">
        <f>IF(Сотрудники!A433&lt;&gt;"",Сотрудники!A433,"")</f>
        <v/>
      </c>
      <c r="B426" s="1" t="str">
        <f>IF(Сотрудники!B433 &lt;&gt; "",Сотрудники!B433,"")</f>
        <v/>
      </c>
    </row>
    <row r="427" spans="1:2" s="1" customFormat="1" x14ac:dyDescent="0.25">
      <c r="A427" s="2" t="str">
        <f>IF(Сотрудники!A434&lt;&gt;"",Сотрудники!A434,"")</f>
        <v/>
      </c>
      <c r="B427" s="1" t="str">
        <f>IF(Сотрудники!B434 &lt;&gt; "",Сотрудники!B434,"")</f>
        <v/>
      </c>
    </row>
    <row r="428" spans="1:2" s="1" customFormat="1" x14ac:dyDescent="0.25">
      <c r="A428" s="2" t="str">
        <f>IF(Сотрудники!A435&lt;&gt;"",Сотрудники!A435,"")</f>
        <v/>
      </c>
      <c r="B428" s="1" t="str">
        <f>IF(Сотрудники!B435 &lt;&gt; "",Сотрудники!B435,"")</f>
        <v/>
      </c>
    </row>
    <row r="429" spans="1:2" s="1" customFormat="1" x14ac:dyDescent="0.25">
      <c r="A429" s="2" t="str">
        <f>IF(Сотрудники!A436&lt;&gt;"",Сотрудники!A436,"")</f>
        <v/>
      </c>
      <c r="B429" s="1" t="str">
        <f>IF(Сотрудники!B436 &lt;&gt; "",Сотрудники!B436,"")</f>
        <v/>
      </c>
    </row>
    <row r="430" spans="1:2" s="1" customFormat="1" x14ac:dyDescent="0.25">
      <c r="A430" s="2" t="str">
        <f>IF(Сотрудники!A437&lt;&gt;"",Сотрудники!A437,"")</f>
        <v/>
      </c>
      <c r="B430" s="1" t="str">
        <f>IF(Сотрудники!B437 &lt;&gt; "",Сотрудники!B437,"")</f>
        <v/>
      </c>
    </row>
    <row r="431" spans="1:2" s="1" customFormat="1" x14ac:dyDescent="0.25">
      <c r="A431" s="2" t="str">
        <f>IF(Сотрудники!A438&lt;&gt;"",Сотрудники!A438,"")</f>
        <v/>
      </c>
      <c r="B431" s="1" t="str">
        <f>IF(Сотрудники!B438 &lt;&gt; "",Сотрудники!B438,"")</f>
        <v/>
      </c>
    </row>
    <row r="432" spans="1:2" s="1" customFormat="1" x14ac:dyDescent="0.25">
      <c r="A432" s="2" t="str">
        <f>IF(Сотрудники!A439&lt;&gt;"",Сотрудники!A439,"")</f>
        <v/>
      </c>
      <c r="B432" s="1" t="str">
        <f>IF(Сотрудники!B439 &lt;&gt; "",Сотрудники!B439,"")</f>
        <v/>
      </c>
    </row>
    <row r="433" spans="1:2" s="1" customFormat="1" x14ac:dyDescent="0.25">
      <c r="A433" s="2" t="str">
        <f>IF(Сотрудники!A440&lt;&gt;"",Сотрудники!A440,"")</f>
        <v/>
      </c>
      <c r="B433" s="1" t="str">
        <f>IF(Сотрудники!B440 &lt;&gt; "",Сотрудники!B440,"")</f>
        <v/>
      </c>
    </row>
    <row r="434" spans="1:2" s="1" customFormat="1" x14ac:dyDescent="0.25">
      <c r="A434" s="2" t="str">
        <f>IF(Сотрудники!A441&lt;&gt;"",Сотрудники!A441,"")</f>
        <v/>
      </c>
      <c r="B434" s="1" t="str">
        <f>IF(Сотрудники!B441 &lt;&gt; "",Сотрудники!B441,"")</f>
        <v/>
      </c>
    </row>
    <row r="435" spans="1:2" s="1" customFormat="1" x14ac:dyDescent="0.25">
      <c r="A435" s="2" t="str">
        <f>IF(Сотрудники!A442&lt;&gt;"",Сотрудники!A442,"")</f>
        <v/>
      </c>
      <c r="B435" s="1" t="str">
        <f>IF(Сотрудники!B442 &lt;&gt; "",Сотрудники!B442,"")</f>
        <v/>
      </c>
    </row>
    <row r="436" spans="1:2" s="1" customFormat="1" x14ac:dyDescent="0.25">
      <c r="A436" s="2" t="str">
        <f>IF(Сотрудники!A443&lt;&gt;"",Сотрудники!A443,"")</f>
        <v/>
      </c>
      <c r="B436" s="1" t="str">
        <f>IF(Сотрудники!B443 &lt;&gt; "",Сотрудники!B443,"")</f>
        <v/>
      </c>
    </row>
    <row r="437" spans="1:2" s="1" customFormat="1" x14ac:dyDescent="0.25">
      <c r="A437" s="2" t="str">
        <f>IF(Сотрудники!A444&lt;&gt;"",Сотрудники!A444,"")</f>
        <v/>
      </c>
      <c r="B437" s="1" t="str">
        <f>IF(Сотрудники!B444 &lt;&gt; "",Сотрудники!B444,"")</f>
        <v/>
      </c>
    </row>
    <row r="438" spans="1:2" s="1" customFormat="1" x14ac:dyDescent="0.25">
      <c r="A438" s="2" t="str">
        <f>IF(Сотрудники!A445&lt;&gt;"",Сотрудники!A445,"")</f>
        <v/>
      </c>
      <c r="B438" s="1" t="str">
        <f>IF(Сотрудники!B445 &lt;&gt; "",Сотрудники!B445,"")</f>
        <v/>
      </c>
    </row>
    <row r="439" spans="1:2" s="1" customFormat="1" x14ac:dyDescent="0.25">
      <c r="A439" s="2" t="str">
        <f>IF(Сотрудники!A446&lt;&gt;"",Сотрудники!A446,"")</f>
        <v/>
      </c>
      <c r="B439" s="1" t="str">
        <f>IF(Сотрудники!B446 &lt;&gt; "",Сотрудники!B446,"")</f>
        <v/>
      </c>
    </row>
    <row r="440" spans="1:2" s="1" customFormat="1" x14ac:dyDescent="0.25">
      <c r="A440" s="2" t="str">
        <f>IF(Сотрудники!A447&lt;&gt;"",Сотрудники!A447,"")</f>
        <v/>
      </c>
      <c r="B440" s="1" t="str">
        <f>IF(Сотрудники!B447 &lt;&gt; "",Сотрудники!B447,"")</f>
        <v/>
      </c>
    </row>
    <row r="441" spans="1:2" s="1" customFormat="1" x14ac:dyDescent="0.25">
      <c r="A441" s="2" t="str">
        <f>IF(Сотрудники!A448&lt;&gt;"",Сотрудники!A448,"")</f>
        <v/>
      </c>
      <c r="B441" s="1" t="str">
        <f>IF(Сотрудники!B448 &lt;&gt; "",Сотрудники!B448,"")</f>
        <v/>
      </c>
    </row>
    <row r="442" spans="1:2" s="1" customFormat="1" x14ac:dyDescent="0.25">
      <c r="A442" s="2" t="str">
        <f>IF(Сотрудники!A449&lt;&gt;"",Сотрудники!A449,"")</f>
        <v/>
      </c>
      <c r="B442" s="1" t="str">
        <f>IF(Сотрудники!B449 &lt;&gt; "",Сотрудники!B449,"")</f>
        <v/>
      </c>
    </row>
    <row r="443" spans="1:2" s="1" customFormat="1" x14ac:dyDescent="0.25">
      <c r="A443" s="2" t="str">
        <f>IF(Сотрудники!A450&lt;&gt;"",Сотрудники!A450,"")</f>
        <v/>
      </c>
      <c r="B443" s="1" t="str">
        <f>IF(Сотрудники!B450 &lt;&gt; "",Сотрудники!B450,"")</f>
        <v/>
      </c>
    </row>
    <row r="444" spans="1:2" s="1" customFormat="1" x14ac:dyDescent="0.25">
      <c r="A444" s="2" t="str">
        <f>IF(Сотрудники!A451&lt;&gt;"",Сотрудники!A451,"")</f>
        <v/>
      </c>
      <c r="B444" s="1" t="str">
        <f>IF(Сотрудники!B451 &lt;&gt; "",Сотрудники!B451,"")</f>
        <v/>
      </c>
    </row>
    <row r="445" spans="1:2" s="1" customFormat="1" x14ac:dyDescent="0.25">
      <c r="A445" s="2" t="str">
        <f>IF(Сотрудники!A452&lt;&gt;"",Сотрудники!A452,"")</f>
        <v/>
      </c>
      <c r="B445" s="1" t="str">
        <f>IF(Сотрудники!B452 &lt;&gt; "",Сотрудники!B452,"")</f>
        <v/>
      </c>
    </row>
    <row r="446" spans="1:2" s="1" customFormat="1" x14ac:dyDescent="0.25">
      <c r="A446" s="2" t="str">
        <f>IF(Сотрудники!A453&lt;&gt;"",Сотрудники!A453,"")</f>
        <v/>
      </c>
      <c r="B446" s="1" t="str">
        <f>IF(Сотрудники!B453 &lt;&gt; "",Сотрудники!B453,"")</f>
        <v/>
      </c>
    </row>
    <row r="447" spans="1:2" s="1" customFormat="1" x14ac:dyDescent="0.25">
      <c r="A447" s="2" t="str">
        <f>IF(Сотрудники!A454&lt;&gt;"",Сотрудники!A454,"")</f>
        <v/>
      </c>
      <c r="B447" s="1" t="str">
        <f>IF(Сотрудники!B454 &lt;&gt; "",Сотрудники!B454,"")</f>
        <v/>
      </c>
    </row>
    <row r="448" spans="1:2" s="1" customFormat="1" x14ac:dyDescent="0.25">
      <c r="A448" s="2" t="str">
        <f>IF(Сотрудники!A455&lt;&gt;"",Сотрудники!A455,"")</f>
        <v/>
      </c>
      <c r="B448" s="1" t="str">
        <f>IF(Сотрудники!B455 &lt;&gt; "",Сотрудники!B455,"")</f>
        <v/>
      </c>
    </row>
    <row r="449" spans="1:2" s="1" customFormat="1" x14ac:dyDescent="0.25">
      <c r="A449" s="2" t="str">
        <f>IF(Сотрудники!A456&lt;&gt;"",Сотрудники!A456,"")</f>
        <v/>
      </c>
      <c r="B449" s="1" t="str">
        <f>IF(Сотрудники!B456 &lt;&gt; "",Сотрудники!B456,"")</f>
        <v/>
      </c>
    </row>
    <row r="450" spans="1:2" s="1" customFormat="1" x14ac:dyDescent="0.25">
      <c r="A450" s="2" t="str">
        <f>IF(Сотрудники!A457&lt;&gt;"",Сотрудники!A457,"")</f>
        <v/>
      </c>
      <c r="B450" s="1" t="str">
        <f>IF(Сотрудники!B457 &lt;&gt; "",Сотрудники!B457,"")</f>
        <v/>
      </c>
    </row>
    <row r="451" spans="1:2" s="1" customFormat="1" x14ac:dyDescent="0.25">
      <c r="A451" s="2" t="str">
        <f>IF(Сотрудники!A458&lt;&gt;"",Сотрудники!A458,"")</f>
        <v/>
      </c>
      <c r="B451" s="1" t="str">
        <f>IF(Сотрудники!B458 &lt;&gt; "",Сотрудники!B458,"")</f>
        <v/>
      </c>
    </row>
    <row r="452" spans="1:2" s="1" customFormat="1" x14ac:dyDescent="0.25">
      <c r="A452" s="2" t="str">
        <f>IF(Сотрудники!A459&lt;&gt;"",Сотрудники!A459,"")</f>
        <v/>
      </c>
      <c r="B452" s="1" t="str">
        <f>IF(Сотрудники!B459 &lt;&gt; "",Сотрудники!B459,"")</f>
        <v/>
      </c>
    </row>
    <row r="453" spans="1:2" s="1" customFormat="1" x14ac:dyDescent="0.25">
      <c r="A453" s="2" t="str">
        <f>IF(Сотрудники!A460&lt;&gt;"",Сотрудники!A460,"")</f>
        <v/>
      </c>
      <c r="B453" s="1" t="str">
        <f>IF(Сотрудники!B460 &lt;&gt; "",Сотрудники!B460,"")</f>
        <v/>
      </c>
    </row>
    <row r="454" spans="1:2" s="1" customFormat="1" x14ac:dyDescent="0.25">
      <c r="A454" s="2" t="str">
        <f>IF(Сотрудники!A461&lt;&gt;"",Сотрудники!A461,"")</f>
        <v/>
      </c>
      <c r="B454" s="1" t="str">
        <f>IF(Сотрудники!B461 &lt;&gt; "",Сотрудники!B461,"")</f>
        <v/>
      </c>
    </row>
    <row r="455" spans="1:2" s="1" customFormat="1" x14ac:dyDescent="0.25">
      <c r="A455" s="2" t="str">
        <f>IF(Сотрудники!A462&lt;&gt;"",Сотрудники!A462,"")</f>
        <v/>
      </c>
      <c r="B455" s="1" t="str">
        <f>IF(Сотрудники!B462 &lt;&gt; "",Сотрудники!B462,"")</f>
        <v/>
      </c>
    </row>
    <row r="456" spans="1:2" s="1" customFormat="1" x14ac:dyDescent="0.25">
      <c r="A456" s="2" t="str">
        <f>IF(Сотрудники!A463&lt;&gt;"",Сотрудники!A463,"")</f>
        <v/>
      </c>
      <c r="B456" s="1" t="str">
        <f>IF(Сотрудники!B463 &lt;&gt; "",Сотрудники!B463,"")</f>
        <v/>
      </c>
    </row>
    <row r="457" spans="1:2" s="1" customFormat="1" x14ac:dyDescent="0.25">
      <c r="A457" s="2" t="str">
        <f>IF(Сотрудники!A464&lt;&gt;"",Сотрудники!A464,"")</f>
        <v/>
      </c>
      <c r="B457" s="1" t="str">
        <f>IF(Сотрудники!B464 &lt;&gt; "",Сотрудники!B464,"")</f>
        <v/>
      </c>
    </row>
    <row r="458" spans="1:2" s="1" customFormat="1" x14ac:dyDescent="0.25">
      <c r="A458" s="2" t="str">
        <f>IF(Сотрудники!A465&lt;&gt;"",Сотрудники!A465,"")</f>
        <v/>
      </c>
      <c r="B458" s="1" t="str">
        <f>IF(Сотрудники!B465 &lt;&gt; "",Сотрудники!B465,"")</f>
        <v/>
      </c>
    </row>
    <row r="459" spans="1:2" s="1" customFormat="1" x14ac:dyDescent="0.25">
      <c r="A459" s="2" t="str">
        <f>IF(Сотрудники!A466&lt;&gt;"",Сотрудники!A466,"")</f>
        <v/>
      </c>
      <c r="B459" s="1" t="str">
        <f>IF(Сотрудники!B466 &lt;&gt; "",Сотрудники!B466,"")</f>
        <v/>
      </c>
    </row>
    <row r="460" spans="1:2" s="1" customFormat="1" x14ac:dyDescent="0.25">
      <c r="A460" s="2" t="str">
        <f>IF(Сотрудники!A467&lt;&gt;"",Сотрудники!A467,"")</f>
        <v/>
      </c>
      <c r="B460" s="1" t="str">
        <f>IF(Сотрудники!B467 &lt;&gt; "",Сотрудники!B467,"")</f>
        <v/>
      </c>
    </row>
    <row r="461" spans="1:2" s="1" customFormat="1" x14ac:dyDescent="0.25">
      <c r="A461" s="2" t="str">
        <f>IF(Сотрудники!A468&lt;&gt;"",Сотрудники!A468,"")</f>
        <v/>
      </c>
      <c r="B461" s="1" t="str">
        <f>IF(Сотрудники!B468 &lt;&gt; "",Сотрудники!B468,"")</f>
        <v/>
      </c>
    </row>
    <row r="462" spans="1:2" s="1" customFormat="1" x14ac:dyDescent="0.25">
      <c r="A462" s="2" t="str">
        <f>IF(Сотрудники!A469&lt;&gt;"",Сотрудники!A469,"")</f>
        <v/>
      </c>
      <c r="B462" s="1" t="str">
        <f>IF(Сотрудники!B469 &lt;&gt; "",Сотрудники!B469,"")</f>
        <v/>
      </c>
    </row>
    <row r="463" spans="1:2" s="1" customFormat="1" x14ac:dyDescent="0.25">
      <c r="A463" s="2" t="str">
        <f>IF(Сотрудники!A470&lt;&gt;"",Сотрудники!A470,"")</f>
        <v/>
      </c>
      <c r="B463" s="1" t="str">
        <f>IF(Сотрудники!B470 &lt;&gt; "",Сотрудники!B470,"")</f>
        <v/>
      </c>
    </row>
    <row r="464" spans="1:2" s="1" customFormat="1" x14ac:dyDescent="0.25">
      <c r="A464" s="2" t="str">
        <f>IF(Сотрудники!A471&lt;&gt;"",Сотрудники!A471,"")</f>
        <v/>
      </c>
      <c r="B464" s="1" t="str">
        <f>IF(Сотрудники!B471 &lt;&gt; "",Сотрудники!B471,"")</f>
        <v/>
      </c>
    </row>
    <row r="465" spans="1:2" s="1" customFormat="1" x14ac:dyDescent="0.25">
      <c r="A465" s="2" t="str">
        <f>IF(Сотрудники!A472&lt;&gt;"",Сотрудники!A472,"")</f>
        <v/>
      </c>
      <c r="B465" s="1" t="str">
        <f>IF(Сотрудники!B472 &lt;&gt; "",Сотрудники!B472,"")</f>
        <v/>
      </c>
    </row>
    <row r="466" spans="1:2" s="1" customFormat="1" x14ac:dyDescent="0.25">
      <c r="A466" s="2" t="str">
        <f>IF(Сотрудники!A473&lt;&gt;"",Сотрудники!A473,"")</f>
        <v/>
      </c>
      <c r="B466" s="1" t="str">
        <f>IF(Сотрудники!B473 &lt;&gt; "",Сотрудники!B473,"")</f>
        <v/>
      </c>
    </row>
    <row r="467" spans="1:2" s="1" customFormat="1" x14ac:dyDescent="0.25">
      <c r="A467" s="2" t="str">
        <f>IF(Сотрудники!A474&lt;&gt;"",Сотрудники!A474,"")</f>
        <v/>
      </c>
      <c r="B467" s="1" t="str">
        <f>IF(Сотрудники!B474 &lt;&gt; "",Сотрудники!B474,"")</f>
        <v/>
      </c>
    </row>
    <row r="468" spans="1:2" s="1" customFormat="1" x14ac:dyDescent="0.25">
      <c r="A468" s="2" t="str">
        <f>IF(Сотрудники!A475&lt;&gt;"",Сотрудники!A475,"")</f>
        <v/>
      </c>
      <c r="B468" s="1" t="str">
        <f>IF(Сотрудники!B475 &lt;&gt; "",Сотрудники!B475,"")</f>
        <v/>
      </c>
    </row>
    <row r="469" spans="1:2" s="1" customFormat="1" x14ac:dyDescent="0.25">
      <c r="A469" s="2" t="str">
        <f>IF(Сотрудники!A476&lt;&gt;"",Сотрудники!A476,"")</f>
        <v/>
      </c>
      <c r="B469" s="1" t="str">
        <f>IF(Сотрудники!B476 &lt;&gt; "",Сотрудники!B476,"")</f>
        <v/>
      </c>
    </row>
    <row r="470" spans="1:2" s="1" customFormat="1" x14ac:dyDescent="0.25">
      <c r="A470" s="2" t="str">
        <f>IF(Сотрудники!A477&lt;&gt;"",Сотрудники!A477,"")</f>
        <v/>
      </c>
      <c r="B470" s="1" t="str">
        <f>IF(Сотрудники!B477 &lt;&gt; "",Сотрудники!B477,"")</f>
        <v/>
      </c>
    </row>
    <row r="471" spans="1:2" s="1" customFormat="1" x14ac:dyDescent="0.25">
      <c r="A471" s="2" t="str">
        <f>IF(Сотрудники!A478&lt;&gt;"",Сотрудники!A478,"")</f>
        <v/>
      </c>
      <c r="B471" s="1" t="str">
        <f>IF(Сотрудники!B478 &lt;&gt; "",Сотрудники!B478,"")</f>
        <v/>
      </c>
    </row>
    <row r="472" spans="1:2" s="1" customFormat="1" x14ac:dyDescent="0.25">
      <c r="A472" s="2" t="str">
        <f>IF(Сотрудники!A479&lt;&gt;"",Сотрудники!A479,"")</f>
        <v/>
      </c>
      <c r="B472" s="1" t="str">
        <f>IF(Сотрудники!B479 &lt;&gt; "",Сотрудники!B479,"")</f>
        <v/>
      </c>
    </row>
    <row r="473" spans="1:2" s="1" customFormat="1" x14ac:dyDescent="0.25">
      <c r="A473" s="2" t="str">
        <f>IF(Сотрудники!A480&lt;&gt;"",Сотрудники!A480,"")</f>
        <v/>
      </c>
      <c r="B473" s="1" t="str">
        <f>IF(Сотрудники!B480 &lt;&gt; "",Сотрудники!B480,"")</f>
        <v/>
      </c>
    </row>
    <row r="474" spans="1:2" s="1" customFormat="1" x14ac:dyDescent="0.25">
      <c r="A474" s="2" t="str">
        <f>IF(Сотрудники!A481&lt;&gt;"",Сотрудники!A481,"")</f>
        <v/>
      </c>
      <c r="B474" s="1" t="str">
        <f>IF(Сотрудники!B481 &lt;&gt; "",Сотрудники!B481,"")</f>
        <v/>
      </c>
    </row>
    <row r="475" spans="1:2" s="1" customFormat="1" x14ac:dyDescent="0.25">
      <c r="A475" s="2" t="str">
        <f>IF(Сотрудники!A482&lt;&gt;"",Сотрудники!A482,"")</f>
        <v/>
      </c>
      <c r="B475" s="1" t="str">
        <f>IF(Сотрудники!B482 &lt;&gt; "",Сотрудники!B482,"")</f>
        <v/>
      </c>
    </row>
    <row r="476" spans="1:2" s="1" customFormat="1" x14ac:dyDescent="0.25">
      <c r="A476" s="2" t="str">
        <f>IF(Сотрудники!A483&lt;&gt;"",Сотрудники!A483,"")</f>
        <v/>
      </c>
      <c r="B476" s="1" t="str">
        <f>IF(Сотрудники!B483 &lt;&gt; "",Сотрудники!B483,"")</f>
        <v/>
      </c>
    </row>
    <row r="477" spans="1:2" s="1" customFormat="1" x14ac:dyDescent="0.25">
      <c r="A477" s="2" t="str">
        <f>IF(Сотрудники!A484&lt;&gt;"",Сотрудники!A484,"")</f>
        <v/>
      </c>
      <c r="B477" s="1" t="str">
        <f>IF(Сотрудники!B484 &lt;&gt; "",Сотрудники!B484,"")</f>
        <v/>
      </c>
    </row>
    <row r="478" spans="1:2" s="1" customFormat="1" x14ac:dyDescent="0.25">
      <c r="A478" s="2" t="str">
        <f>IF(Сотрудники!A485&lt;&gt;"",Сотрудники!A485,"")</f>
        <v/>
      </c>
      <c r="B478" s="1" t="str">
        <f>IF(Сотрудники!B485 &lt;&gt; "",Сотрудники!B485,"")</f>
        <v/>
      </c>
    </row>
    <row r="479" spans="1:2" s="1" customFormat="1" x14ac:dyDescent="0.25">
      <c r="A479" s="2" t="str">
        <f>IF(Сотрудники!A486&lt;&gt;"",Сотрудники!A486,"")</f>
        <v/>
      </c>
      <c r="B479" s="1" t="str">
        <f>IF(Сотрудники!B486 &lt;&gt; "",Сотрудники!B486,"")</f>
        <v/>
      </c>
    </row>
    <row r="480" spans="1:2" s="1" customFormat="1" x14ac:dyDescent="0.25">
      <c r="A480" s="2" t="str">
        <f>IF(Сотрудники!A487&lt;&gt;"",Сотрудники!A487,"")</f>
        <v/>
      </c>
      <c r="B480" s="1" t="str">
        <f>IF(Сотрудники!B487 &lt;&gt; "",Сотрудники!B487,"")</f>
        <v/>
      </c>
    </row>
    <row r="481" spans="1:2" s="1" customFormat="1" x14ac:dyDescent="0.25">
      <c r="A481" s="2" t="str">
        <f>IF(Сотрудники!A488&lt;&gt;"",Сотрудники!A488,"")</f>
        <v/>
      </c>
      <c r="B481" s="1" t="str">
        <f>IF(Сотрудники!B488 &lt;&gt; "",Сотрудники!B488,"")</f>
        <v/>
      </c>
    </row>
    <row r="482" spans="1:2" s="1" customFormat="1" x14ac:dyDescent="0.25">
      <c r="A482" s="2" t="str">
        <f>IF(Сотрудники!A489&lt;&gt;"",Сотрудники!A489,"")</f>
        <v/>
      </c>
      <c r="B482" s="1" t="str">
        <f>IF(Сотрудники!B489 &lt;&gt; "",Сотрудники!B489,"")</f>
        <v/>
      </c>
    </row>
    <row r="483" spans="1:2" s="1" customFormat="1" x14ac:dyDescent="0.25">
      <c r="A483" s="2" t="str">
        <f>IF(Сотрудники!A490&lt;&gt;"",Сотрудники!A490,"")</f>
        <v/>
      </c>
      <c r="B483" s="1" t="str">
        <f>IF(Сотрудники!B490 &lt;&gt; "",Сотрудники!B490,"")</f>
        <v/>
      </c>
    </row>
    <row r="484" spans="1:2" s="1" customFormat="1" x14ac:dyDescent="0.25">
      <c r="A484" s="2" t="str">
        <f>IF(Сотрудники!A491&lt;&gt;"",Сотрудники!A491,"")</f>
        <v/>
      </c>
      <c r="B484" s="1" t="str">
        <f>IF(Сотрудники!B491 &lt;&gt; "",Сотрудники!B491,"")</f>
        <v/>
      </c>
    </row>
    <row r="485" spans="1:2" s="1" customFormat="1" x14ac:dyDescent="0.25">
      <c r="A485" s="2" t="str">
        <f>IF(Сотрудники!A492&lt;&gt;"",Сотрудники!A492,"")</f>
        <v/>
      </c>
      <c r="B485" s="1" t="str">
        <f>IF(Сотрудники!B492 &lt;&gt; "",Сотрудники!B492,"")</f>
        <v/>
      </c>
    </row>
    <row r="486" spans="1:2" s="1" customFormat="1" x14ac:dyDescent="0.25">
      <c r="A486" s="2" t="str">
        <f>IF(Сотрудники!A493&lt;&gt;"",Сотрудники!A493,"")</f>
        <v/>
      </c>
      <c r="B486" s="1" t="str">
        <f>IF(Сотрудники!B493 &lt;&gt; "",Сотрудники!B493,"")</f>
        <v/>
      </c>
    </row>
    <row r="487" spans="1:2" s="1" customFormat="1" x14ac:dyDescent="0.25">
      <c r="A487" s="2" t="str">
        <f>IF(Сотрудники!A494&lt;&gt;"",Сотрудники!A494,"")</f>
        <v/>
      </c>
      <c r="B487" s="1" t="str">
        <f>IF(Сотрудники!B494 &lt;&gt; "",Сотрудники!B494,"")</f>
        <v/>
      </c>
    </row>
    <row r="488" spans="1:2" s="1" customFormat="1" x14ac:dyDescent="0.25">
      <c r="A488" s="2" t="str">
        <f>IF(Сотрудники!A495&lt;&gt;"",Сотрудники!A495,"")</f>
        <v/>
      </c>
      <c r="B488" s="1" t="str">
        <f>IF(Сотрудники!B495 &lt;&gt; "",Сотрудники!B495,"")</f>
        <v/>
      </c>
    </row>
    <row r="489" spans="1:2" s="1" customFormat="1" x14ac:dyDescent="0.25">
      <c r="A489" s="2" t="str">
        <f>IF(Сотрудники!A496&lt;&gt;"",Сотрудники!A496,"")</f>
        <v/>
      </c>
      <c r="B489" s="1" t="str">
        <f>IF(Сотрудники!B496 &lt;&gt; "",Сотрудники!B496,"")</f>
        <v/>
      </c>
    </row>
    <row r="490" spans="1:2" s="1" customFormat="1" x14ac:dyDescent="0.25">
      <c r="A490" s="2" t="str">
        <f>IF(Сотрудники!A497&lt;&gt;"",Сотрудники!A497,"")</f>
        <v/>
      </c>
      <c r="B490" s="1" t="str">
        <f>IF(Сотрудники!B497 &lt;&gt; "",Сотрудники!B497,"")</f>
        <v/>
      </c>
    </row>
    <row r="491" spans="1:2" s="1" customFormat="1" x14ac:dyDescent="0.25">
      <c r="A491" s="2" t="str">
        <f>IF(Сотрудники!A498&lt;&gt;"",Сотрудники!A498,"")</f>
        <v/>
      </c>
      <c r="B491" s="1" t="str">
        <f>IF(Сотрудники!B498 &lt;&gt; "",Сотрудники!B498,"")</f>
        <v/>
      </c>
    </row>
    <row r="492" spans="1:2" s="1" customFormat="1" x14ac:dyDescent="0.25">
      <c r="A492" s="2" t="str">
        <f>IF(Сотрудники!A499&lt;&gt;"",Сотрудники!A499,"")</f>
        <v/>
      </c>
      <c r="B492" s="1" t="str">
        <f>IF(Сотрудники!B499 &lt;&gt; "",Сотрудники!B499,"")</f>
        <v/>
      </c>
    </row>
    <row r="493" spans="1:2" s="1" customFormat="1" x14ac:dyDescent="0.25">
      <c r="A493" s="2" t="str">
        <f>IF(Сотрудники!A500&lt;&gt;"",Сотрудники!A500,"")</f>
        <v/>
      </c>
      <c r="B493" s="1" t="str">
        <f>IF(Сотрудники!B500 &lt;&gt; "",Сотрудники!B500,"")</f>
        <v/>
      </c>
    </row>
    <row r="494" spans="1:2" s="1" customFormat="1" x14ac:dyDescent="0.25">
      <c r="A494" s="2" t="str">
        <f>IF(Сотрудники!A501&lt;&gt;"",Сотрудники!A501,"")</f>
        <v/>
      </c>
      <c r="B494" s="1" t="str">
        <f>IF(Сотрудники!B501 &lt;&gt; "",Сотрудники!B501,"")</f>
        <v/>
      </c>
    </row>
    <row r="495" spans="1:2" s="1" customFormat="1" x14ac:dyDescent="0.25">
      <c r="A495" s="2" t="str">
        <f>IF(Сотрудники!A502&lt;&gt;"",Сотрудники!A502,"")</f>
        <v/>
      </c>
      <c r="B495" s="1" t="str">
        <f>IF(Сотрудники!B502 &lt;&gt; "",Сотрудники!B502,"")</f>
        <v/>
      </c>
    </row>
    <row r="496" spans="1:2" s="1" customFormat="1" x14ac:dyDescent="0.25">
      <c r="A496" s="2" t="str">
        <f>IF(Сотрудники!A503&lt;&gt;"",Сотрудники!A503,"")</f>
        <v/>
      </c>
      <c r="B496" s="1" t="str">
        <f>IF(Сотрудники!B503 &lt;&gt; "",Сотрудники!B503,"")</f>
        <v/>
      </c>
    </row>
    <row r="497" spans="1:2" s="1" customFormat="1" x14ac:dyDescent="0.25">
      <c r="A497" s="2" t="str">
        <f>IF(Сотрудники!A504&lt;&gt;"",Сотрудники!A504,"")</f>
        <v/>
      </c>
      <c r="B497" s="1" t="str">
        <f>IF(Сотрудники!B504 &lt;&gt; "",Сотрудники!B504,"")</f>
        <v/>
      </c>
    </row>
    <row r="498" spans="1:2" s="1" customFormat="1" x14ac:dyDescent="0.25">
      <c r="A498" s="2" t="str">
        <f>IF(Сотрудники!A505&lt;&gt;"",Сотрудники!A505,"")</f>
        <v/>
      </c>
      <c r="B498" s="1" t="str">
        <f>IF(Сотрудники!B505 &lt;&gt; "",Сотрудники!B505,"")</f>
        <v/>
      </c>
    </row>
    <row r="499" spans="1:2" s="1" customFormat="1" x14ac:dyDescent="0.25">
      <c r="A499" s="2" t="str">
        <f>IF(Сотрудники!A506&lt;&gt;"",Сотрудники!A506,"")</f>
        <v/>
      </c>
      <c r="B499" s="1" t="str">
        <f>IF(Сотрудники!B506 &lt;&gt; "",Сотрудники!B506,"")</f>
        <v/>
      </c>
    </row>
    <row r="500" spans="1:2" s="1" customFormat="1" x14ac:dyDescent="0.25">
      <c r="A500" s="2" t="str">
        <f>IF(Сотрудники!A507&lt;&gt;"",Сотрудники!A507,"")</f>
        <v/>
      </c>
      <c r="B500" s="1" t="str">
        <f>IF(Сотрудники!B507 &lt;&gt; "",Сотрудники!B507,"")</f>
        <v/>
      </c>
    </row>
    <row r="501" spans="1:2" s="1" customFormat="1" x14ac:dyDescent="0.25">
      <c r="A501" s="2" t="str">
        <f>IF(Сотрудники!A508&lt;&gt;"",Сотрудники!A508,"")</f>
        <v/>
      </c>
      <c r="B501" s="1" t="str">
        <f>IF(Сотрудники!B508 &lt;&gt; "",Сотрудники!B508,"")</f>
        <v/>
      </c>
    </row>
    <row r="502" spans="1:2" s="1" customFormat="1" x14ac:dyDescent="0.25">
      <c r="A502" s="2" t="str">
        <f>IF(Сотрудники!A509&lt;&gt;"",Сотрудники!A509,"")</f>
        <v/>
      </c>
      <c r="B502" s="1" t="str">
        <f>IF(Сотрудники!B509 &lt;&gt; "",Сотрудники!B509,"")</f>
        <v/>
      </c>
    </row>
    <row r="503" spans="1:2" s="1" customFormat="1" x14ac:dyDescent="0.25">
      <c r="A503" s="2" t="str">
        <f>IF(Сотрудники!A510&lt;&gt;"",Сотрудники!A510,"")</f>
        <v/>
      </c>
      <c r="B503" s="1" t="str">
        <f>IF(Сотрудники!B510 &lt;&gt; "",Сотрудники!B510,"")</f>
        <v/>
      </c>
    </row>
    <row r="504" spans="1:2" s="1" customFormat="1" x14ac:dyDescent="0.25">
      <c r="A504" s="2" t="str">
        <f>IF(Сотрудники!A511&lt;&gt;"",Сотрудники!A511,"")</f>
        <v/>
      </c>
      <c r="B504" s="1" t="str">
        <f>IF(Сотрудники!B511 &lt;&gt; "",Сотрудники!B511,"")</f>
        <v/>
      </c>
    </row>
    <row r="505" spans="1:2" s="1" customFormat="1" x14ac:dyDescent="0.25">
      <c r="A505" s="2" t="str">
        <f>IF(Сотрудники!A512&lt;&gt;"",Сотрудники!A512,"")</f>
        <v/>
      </c>
      <c r="B505" s="1" t="str">
        <f>IF(Сотрудники!B512 &lt;&gt; "",Сотрудники!B512,"")</f>
        <v/>
      </c>
    </row>
    <row r="506" spans="1:2" s="1" customFormat="1" x14ac:dyDescent="0.25">
      <c r="A506" s="2" t="str">
        <f>IF(Сотрудники!A513&lt;&gt;"",Сотрудники!A513,"")</f>
        <v/>
      </c>
      <c r="B506" s="1" t="str">
        <f>IF(Сотрудники!B513 &lt;&gt; "",Сотрудники!B513,"")</f>
        <v/>
      </c>
    </row>
    <row r="507" spans="1:2" s="1" customFormat="1" x14ac:dyDescent="0.25">
      <c r="A507" s="2" t="str">
        <f>IF(Сотрудники!A514&lt;&gt;"",Сотрудники!A514,"")</f>
        <v/>
      </c>
      <c r="B507" s="1" t="str">
        <f>IF(Сотрудники!B514 &lt;&gt; "",Сотрудники!B514,"")</f>
        <v/>
      </c>
    </row>
    <row r="508" spans="1:2" s="1" customFormat="1" x14ac:dyDescent="0.25">
      <c r="A508" s="2" t="str">
        <f>IF(Сотрудники!A515&lt;&gt;"",Сотрудники!A515,"")</f>
        <v/>
      </c>
      <c r="B508" s="1" t="str">
        <f>IF(Сотрудники!B515 &lt;&gt; "",Сотрудники!B515,"")</f>
        <v/>
      </c>
    </row>
    <row r="509" spans="1:2" s="1" customFormat="1" x14ac:dyDescent="0.25">
      <c r="A509" s="2" t="str">
        <f>IF(Сотрудники!A516&lt;&gt;"",Сотрудники!A516,"")</f>
        <v/>
      </c>
      <c r="B509" s="1" t="str">
        <f>IF(Сотрудники!B516 &lt;&gt; "",Сотрудники!B516,"")</f>
        <v/>
      </c>
    </row>
    <row r="510" spans="1:2" s="1" customFormat="1" x14ac:dyDescent="0.25">
      <c r="A510" s="2" t="str">
        <f>IF(Сотрудники!A517&lt;&gt;"",Сотрудники!A517,"")</f>
        <v/>
      </c>
      <c r="B510" s="1" t="str">
        <f>IF(Сотрудники!B517 &lt;&gt; "",Сотрудники!B517,"")</f>
        <v/>
      </c>
    </row>
    <row r="511" spans="1:2" s="1" customFormat="1" x14ac:dyDescent="0.25">
      <c r="A511" s="2" t="str">
        <f>IF(Сотрудники!A518&lt;&gt;"",Сотрудники!A518,"")</f>
        <v/>
      </c>
      <c r="B511" s="1" t="str">
        <f>IF(Сотрудники!B518 &lt;&gt; "",Сотрудники!B518,"")</f>
        <v/>
      </c>
    </row>
    <row r="512" spans="1:2" s="1" customFormat="1" x14ac:dyDescent="0.25">
      <c r="A512" s="2" t="str">
        <f>IF(Сотрудники!A519&lt;&gt;"",Сотрудники!A519,"")</f>
        <v/>
      </c>
      <c r="B512" s="1" t="str">
        <f>IF(Сотрудники!B519 &lt;&gt; "",Сотрудники!B519,"")</f>
        <v/>
      </c>
    </row>
    <row r="513" spans="1:2" s="1" customFormat="1" x14ac:dyDescent="0.25">
      <c r="A513" s="2" t="str">
        <f>IF(Сотрудники!A520&lt;&gt;"",Сотрудники!A520,"")</f>
        <v/>
      </c>
      <c r="B513" s="1" t="str">
        <f>IF(Сотрудники!B520 &lt;&gt; "",Сотрудники!B520,"")</f>
        <v/>
      </c>
    </row>
    <row r="514" spans="1:2" s="1" customFormat="1" x14ac:dyDescent="0.25">
      <c r="A514" s="2" t="str">
        <f>IF(Сотрудники!A521&lt;&gt;"",Сотрудники!A521,"")</f>
        <v/>
      </c>
      <c r="B514" s="1" t="str">
        <f>IF(Сотрудники!B521 &lt;&gt; "",Сотрудники!B521,"")</f>
        <v/>
      </c>
    </row>
    <row r="515" spans="1:2" s="1" customFormat="1" x14ac:dyDescent="0.25">
      <c r="A515" s="2" t="str">
        <f>IF(Сотрудники!A522&lt;&gt;"",Сотрудники!A522,"")</f>
        <v/>
      </c>
      <c r="B515" s="1" t="str">
        <f>IF(Сотрудники!B522 &lt;&gt; "",Сотрудники!B522,"")</f>
        <v/>
      </c>
    </row>
    <row r="516" spans="1:2" s="1" customFormat="1" x14ac:dyDescent="0.25">
      <c r="A516" s="2" t="str">
        <f>IF(Сотрудники!A523&lt;&gt;"",Сотрудники!A523,"")</f>
        <v/>
      </c>
      <c r="B516" s="1" t="str">
        <f>IF(Сотрудники!B523 &lt;&gt; "",Сотрудники!B523,"")</f>
        <v/>
      </c>
    </row>
    <row r="517" spans="1:2" s="1" customFormat="1" x14ac:dyDescent="0.25">
      <c r="A517" s="2" t="str">
        <f>IF(Сотрудники!A524&lt;&gt;"",Сотрудники!A524,"")</f>
        <v/>
      </c>
      <c r="B517" s="1" t="str">
        <f>IF(Сотрудники!B524 &lt;&gt; "",Сотрудники!B524,"")</f>
        <v/>
      </c>
    </row>
    <row r="518" spans="1:2" s="1" customFormat="1" x14ac:dyDescent="0.25">
      <c r="A518" s="2" t="str">
        <f>IF(Сотрудники!A525&lt;&gt;"",Сотрудники!A525,"")</f>
        <v/>
      </c>
      <c r="B518" s="1" t="str">
        <f>IF(Сотрудники!B525 &lt;&gt; "",Сотрудники!B525,"")</f>
        <v/>
      </c>
    </row>
    <row r="519" spans="1:2" s="1" customFormat="1" x14ac:dyDescent="0.25">
      <c r="A519" s="2" t="str">
        <f>IF(Сотрудники!A526&lt;&gt;"",Сотрудники!A526,"")</f>
        <v/>
      </c>
      <c r="B519" s="1" t="str">
        <f>IF(Сотрудники!B526 &lt;&gt; "",Сотрудники!B526,"")</f>
        <v/>
      </c>
    </row>
    <row r="520" spans="1:2" s="1" customFormat="1" x14ac:dyDescent="0.25">
      <c r="A520" s="2" t="str">
        <f>IF(Сотрудники!A527&lt;&gt;"",Сотрудники!A527,"")</f>
        <v/>
      </c>
      <c r="B520" s="1" t="str">
        <f>IF(Сотрудники!B527 &lt;&gt; "",Сотрудники!B527,"")</f>
        <v/>
      </c>
    </row>
    <row r="521" spans="1:2" s="1" customFormat="1" x14ac:dyDescent="0.25">
      <c r="A521" s="2" t="str">
        <f>IF(Сотрудники!A528&lt;&gt;"",Сотрудники!A528,"")</f>
        <v/>
      </c>
      <c r="B521" s="1" t="str">
        <f>IF(Сотрудники!B528 &lt;&gt; "",Сотрудники!B528,"")</f>
        <v/>
      </c>
    </row>
    <row r="522" spans="1:2" s="1" customFormat="1" x14ac:dyDescent="0.25">
      <c r="A522" s="2" t="str">
        <f>IF(Сотрудники!A529&lt;&gt;"",Сотрудники!A529,"")</f>
        <v/>
      </c>
      <c r="B522" s="1" t="str">
        <f>IF(Сотрудники!B529 &lt;&gt; "",Сотрудники!B529,"")</f>
        <v/>
      </c>
    </row>
    <row r="523" spans="1:2" s="1" customFormat="1" x14ac:dyDescent="0.25">
      <c r="A523" s="2" t="str">
        <f>IF(Сотрудники!A530&lt;&gt;"",Сотрудники!A530,"")</f>
        <v/>
      </c>
      <c r="B523" s="1" t="str">
        <f>IF(Сотрудники!B530 &lt;&gt; "",Сотрудники!B530,"")</f>
        <v/>
      </c>
    </row>
    <row r="524" spans="1:2" s="1" customFormat="1" x14ac:dyDescent="0.25">
      <c r="A524" s="2" t="str">
        <f>IF(Сотрудники!A531&lt;&gt;"",Сотрудники!A531,"")</f>
        <v/>
      </c>
      <c r="B524" s="1" t="str">
        <f>IF(Сотрудники!B531 &lt;&gt; "",Сотрудники!B531,"")</f>
        <v/>
      </c>
    </row>
    <row r="525" spans="1:2" s="1" customFormat="1" x14ac:dyDescent="0.25">
      <c r="A525" s="2" t="str">
        <f>IF(Сотрудники!A532&lt;&gt;"",Сотрудники!A532,"")</f>
        <v/>
      </c>
      <c r="B525" s="1" t="str">
        <f>IF(Сотрудники!B532 &lt;&gt; "",Сотрудники!B532,"")</f>
        <v/>
      </c>
    </row>
    <row r="526" spans="1:2" s="1" customFormat="1" x14ac:dyDescent="0.25">
      <c r="A526" s="2" t="str">
        <f>IF(Сотрудники!A533&lt;&gt;"",Сотрудники!A533,"")</f>
        <v/>
      </c>
      <c r="B526" s="1" t="str">
        <f>IF(Сотрудники!B533 &lt;&gt; "",Сотрудники!B533,"")</f>
        <v/>
      </c>
    </row>
    <row r="527" spans="1:2" s="1" customFormat="1" x14ac:dyDescent="0.25">
      <c r="A527" s="2" t="str">
        <f>IF(Сотрудники!A534&lt;&gt;"",Сотрудники!A534,"")</f>
        <v/>
      </c>
      <c r="B527" s="1" t="str">
        <f>IF(Сотрудники!B534 &lt;&gt; "",Сотрудники!B534,"")</f>
        <v/>
      </c>
    </row>
    <row r="528" spans="1:2" s="1" customFormat="1" x14ac:dyDescent="0.25">
      <c r="A528" s="2" t="str">
        <f>IF(Сотрудники!A535&lt;&gt;"",Сотрудники!A535,"")</f>
        <v/>
      </c>
      <c r="B528" s="1" t="str">
        <f>IF(Сотрудники!B535 &lt;&gt; "",Сотрудники!B535,"")</f>
        <v/>
      </c>
    </row>
    <row r="529" spans="1:2" s="1" customFormat="1" x14ac:dyDescent="0.25">
      <c r="A529" s="2" t="str">
        <f>IF(Сотрудники!A536&lt;&gt;"",Сотрудники!A536,"")</f>
        <v/>
      </c>
      <c r="B529" s="1" t="str">
        <f>IF(Сотрудники!B536 &lt;&gt; "",Сотрудники!B536,"")</f>
        <v/>
      </c>
    </row>
    <row r="530" spans="1:2" s="1" customFormat="1" x14ac:dyDescent="0.25">
      <c r="A530" s="2" t="str">
        <f>IF(Сотрудники!A537&lt;&gt;"",Сотрудники!A537,"")</f>
        <v/>
      </c>
      <c r="B530" s="1" t="str">
        <f>IF(Сотрудники!B537 &lt;&gt; "",Сотрудники!B537,"")</f>
        <v/>
      </c>
    </row>
    <row r="531" spans="1:2" s="1" customFormat="1" x14ac:dyDescent="0.25">
      <c r="A531" s="2" t="str">
        <f>IF(Сотрудники!A538&lt;&gt;"",Сотрудники!A538,"")</f>
        <v/>
      </c>
      <c r="B531" s="1" t="str">
        <f>IF(Сотрудники!B538 &lt;&gt; "",Сотрудники!B538,"")</f>
        <v/>
      </c>
    </row>
    <row r="532" spans="1:2" s="1" customFormat="1" x14ac:dyDescent="0.25">
      <c r="A532" s="2" t="str">
        <f>IF(Сотрудники!A539&lt;&gt;"",Сотрудники!A539,"")</f>
        <v/>
      </c>
      <c r="B532" s="1" t="str">
        <f>IF(Сотрудники!B539 &lt;&gt; "",Сотрудники!B539,"")</f>
        <v/>
      </c>
    </row>
    <row r="533" spans="1:2" s="1" customFormat="1" x14ac:dyDescent="0.25">
      <c r="A533" s="2" t="str">
        <f>IF(Сотрудники!A540&lt;&gt;"",Сотрудники!A540,"")</f>
        <v/>
      </c>
      <c r="B533" s="1" t="str">
        <f>IF(Сотрудники!B540 &lt;&gt; "",Сотрудники!B540,"")</f>
        <v/>
      </c>
    </row>
    <row r="534" spans="1:2" s="1" customFormat="1" x14ac:dyDescent="0.25">
      <c r="A534" s="2" t="str">
        <f>IF(Сотрудники!A541&lt;&gt;"",Сотрудники!A541,"")</f>
        <v/>
      </c>
      <c r="B534" s="1" t="str">
        <f>IF(Сотрудники!B541 &lt;&gt; "",Сотрудники!B541,"")</f>
        <v/>
      </c>
    </row>
    <row r="535" spans="1:2" s="1" customFormat="1" x14ac:dyDescent="0.25">
      <c r="A535" s="2" t="str">
        <f>IF(Сотрудники!A542&lt;&gt;"",Сотрудники!A542,"")</f>
        <v/>
      </c>
      <c r="B535" s="1" t="str">
        <f>IF(Сотрудники!B542 &lt;&gt; "",Сотрудники!B542,"")</f>
        <v/>
      </c>
    </row>
    <row r="536" spans="1:2" s="1" customFormat="1" x14ac:dyDescent="0.25">
      <c r="A536" s="2" t="str">
        <f>IF(Сотрудники!A543&lt;&gt;"",Сотрудники!A543,"")</f>
        <v/>
      </c>
      <c r="B536" s="1" t="str">
        <f>IF(Сотрудники!B543 &lt;&gt; "",Сотрудники!B543,"")</f>
        <v/>
      </c>
    </row>
    <row r="537" spans="1:2" s="1" customFormat="1" x14ac:dyDescent="0.25">
      <c r="A537" s="2" t="str">
        <f>IF(Сотрудники!A544&lt;&gt;"",Сотрудники!A544,"")</f>
        <v/>
      </c>
      <c r="B537" s="1" t="str">
        <f>IF(Сотрудники!B544 &lt;&gt; "",Сотрудники!B544,"")</f>
        <v/>
      </c>
    </row>
    <row r="538" spans="1:2" s="1" customFormat="1" x14ac:dyDescent="0.25">
      <c r="A538" s="2" t="str">
        <f>IF(Сотрудники!A545&lt;&gt;"",Сотрудники!A545,"")</f>
        <v/>
      </c>
      <c r="B538" s="1" t="str">
        <f>IF(Сотрудники!B545 &lt;&gt; "",Сотрудники!B545,"")</f>
        <v/>
      </c>
    </row>
    <row r="539" spans="1:2" s="1" customFormat="1" x14ac:dyDescent="0.25">
      <c r="A539" s="2" t="str">
        <f>IF(Сотрудники!A546&lt;&gt;"",Сотрудники!A546,"")</f>
        <v/>
      </c>
      <c r="B539" s="1" t="str">
        <f>IF(Сотрудники!B546 &lt;&gt; "",Сотрудники!B546,"")</f>
        <v/>
      </c>
    </row>
    <row r="540" spans="1:2" s="1" customFormat="1" x14ac:dyDescent="0.25">
      <c r="A540" s="2" t="str">
        <f>IF(Сотрудники!A547&lt;&gt;"",Сотрудники!A547,"")</f>
        <v/>
      </c>
      <c r="B540" s="1" t="str">
        <f>IF(Сотрудники!B547 &lt;&gt; "",Сотрудники!B547,"")</f>
        <v/>
      </c>
    </row>
    <row r="541" spans="1:2" s="1" customFormat="1" x14ac:dyDescent="0.25">
      <c r="A541" s="2" t="str">
        <f>IF(Сотрудники!A548&lt;&gt;"",Сотрудники!A548,"")</f>
        <v/>
      </c>
      <c r="B541" s="1" t="str">
        <f>IF(Сотрудники!B548 &lt;&gt; "",Сотрудники!B548,"")</f>
        <v/>
      </c>
    </row>
    <row r="542" spans="1:2" s="1" customFormat="1" x14ac:dyDescent="0.25">
      <c r="A542" s="2" t="str">
        <f>IF(Сотрудники!A549&lt;&gt;"",Сотрудники!A549,"")</f>
        <v/>
      </c>
      <c r="B542" s="1" t="str">
        <f>IF(Сотрудники!B549 &lt;&gt; "",Сотрудники!B549,"")</f>
        <v/>
      </c>
    </row>
    <row r="543" spans="1:2" s="1" customFormat="1" x14ac:dyDescent="0.25">
      <c r="A543" s="2" t="str">
        <f>IF(Сотрудники!A550&lt;&gt;"",Сотрудники!A550,"")</f>
        <v/>
      </c>
      <c r="B543" s="1" t="str">
        <f>IF(Сотрудники!B550 &lt;&gt; "",Сотрудники!B550,"")</f>
        <v/>
      </c>
    </row>
    <row r="544" spans="1:2" s="1" customFormat="1" x14ac:dyDescent="0.25">
      <c r="A544" s="2" t="str">
        <f>IF(Сотрудники!A551&lt;&gt;"",Сотрудники!A551,"")</f>
        <v/>
      </c>
      <c r="B544" s="1" t="str">
        <f>IF(Сотрудники!B551 &lt;&gt; "",Сотрудники!B551,"")</f>
        <v/>
      </c>
    </row>
    <row r="545" spans="1:2" s="1" customFormat="1" x14ac:dyDescent="0.25">
      <c r="A545" s="2" t="str">
        <f>IF(Сотрудники!A552&lt;&gt;"",Сотрудники!A552,"")</f>
        <v/>
      </c>
      <c r="B545" s="1" t="str">
        <f>IF(Сотрудники!B552 &lt;&gt; "",Сотрудники!B552,"")</f>
        <v/>
      </c>
    </row>
    <row r="546" spans="1:2" s="1" customFormat="1" x14ac:dyDescent="0.25">
      <c r="A546" s="2" t="str">
        <f>IF(Сотрудники!A553&lt;&gt;"",Сотрудники!A553,"")</f>
        <v/>
      </c>
      <c r="B546" s="1" t="str">
        <f>IF(Сотрудники!B553 &lt;&gt; "",Сотрудники!B553,"")</f>
        <v/>
      </c>
    </row>
    <row r="547" spans="1:2" s="1" customFormat="1" x14ac:dyDescent="0.25">
      <c r="A547" s="2" t="str">
        <f>IF(Сотрудники!A554&lt;&gt;"",Сотрудники!A554,"")</f>
        <v/>
      </c>
      <c r="B547" s="1" t="str">
        <f>IF(Сотрудники!B554 &lt;&gt; "",Сотрудники!B554,"")</f>
        <v/>
      </c>
    </row>
    <row r="548" spans="1:2" s="1" customFormat="1" x14ac:dyDescent="0.25">
      <c r="A548" s="2" t="str">
        <f>IF(Сотрудники!A555&lt;&gt;"",Сотрудники!A555,"")</f>
        <v/>
      </c>
      <c r="B548" s="1" t="str">
        <f>IF(Сотрудники!B555 &lt;&gt; "",Сотрудники!B555,"")</f>
        <v/>
      </c>
    </row>
    <row r="549" spans="1:2" s="1" customFormat="1" x14ac:dyDescent="0.25">
      <c r="A549" s="2" t="str">
        <f>IF(Сотрудники!A556&lt;&gt;"",Сотрудники!A556,"")</f>
        <v/>
      </c>
      <c r="B549" s="1" t="str">
        <f>IF(Сотрудники!B556 &lt;&gt; "",Сотрудники!B556,"")</f>
        <v/>
      </c>
    </row>
    <row r="550" spans="1:2" s="1" customFormat="1" x14ac:dyDescent="0.25">
      <c r="A550" s="2" t="str">
        <f>IF(Сотрудники!A557&lt;&gt;"",Сотрудники!A557,"")</f>
        <v/>
      </c>
      <c r="B550" s="1" t="str">
        <f>IF(Сотрудники!B557 &lt;&gt; "",Сотрудники!B557,"")</f>
        <v/>
      </c>
    </row>
    <row r="551" spans="1:2" s="1" customFormat="1" x14ac:dyDescent="0.25">
      <c r="A551" s="2" t="str">
        <f>IF(Сотрудники!A558&lt;&gt;"",Сотрудники!A558,"")</f>
        <v/>
      </c>
      <c r="B551" s="1" t="str">
        <f>IF(Сотрудники!B558 &lt;&gt; "",Сотрудники!B558,"")</f>
        <v/>
      </c>
    </row>
    <row r="552" spans="1:2" s="1" customFormat="1" x14ac:dyDescent="0.25">
      <c r="A552" s="2" t="str">
        <f>IF(Сотрудники!A559&lt;&gt;"",Сотрудники!A559,"")</f>
        <v/>
      </c>
      <c r="B552" s="1" t="str">
        <f>IF(Сотрудники!B559 &lt;&gt; "",Сотрудники!B559,"")</f>
        <v/>
      </c>
    </row>
    <row r="553" spans="1:2" s="1" customFormat="1" x14ac:dyDescent="0.25">
      <c r="A553" s="2" t="str">
        <f>IF(Сотрудники!A560&lt;&gt;"",Сотрудники!A560,"")</f>
        <v/>
      </c>
      <c r="B553" s="1" t="str">
        <f>IF(Сотрудники!B560 &lt;&gt; "",Сотрудники!B560,"")</f>
        <v/>
      </c>
    </row>
    <row r="554" spans="1:2" s="1" customFormat="1" x14ac:dyDescent="0.25">
      <c r="A554" s="2" t="str">
        <f>IF(Сотрудники!A561&lt;&gt;"",Сотрудники!A561,"")</f>
        <v/>
      </c>
      <c r="B554" s="1" t="str">
        <f>IF(Сотрудники!B561 &lt;&gt; "",Сотрудники!B561,"")</f>
        <v/>
      </c>
    </row>
    <row r="555" spans="1:2" s="1" customFormat="1" x14ac:dyDescent="0.25">
      <c r="A555" s="2" t="str">
        <f>IF(Сотрудники!A562&lt;&gt;"",Сотрудники!A562,"")</f>
        <v/>
      </c>
      <c r="B555" s="1" t="str">
        <f>IF(Сотрудники!B562 &lt;&gt; "",Сотрудники!B562,"")</f>
        <v/>
      </c>
    </row>
    <row r="556" spans="1:2" s="1" customFormat="1" x14ac:dyDescent="0.25">
      <c r="A556" s="2" t="str">
        <f>IF(Сотрудники!A563&lt;&gt;"",Сотрудники!A563,"")</f>
        <v/>
      </c>
      <c r="B556" s="1" t="str">
        <f>IF(Сотрудники!B563 &lt;&gt; "",Сотрудники!B563,"")</f>
        <v/>
      </c>
    </row>
    <row r="557" spans="1:2" s="1" customFormat="1" x14ac:dyDescent="0.25">
      <c r="A557" s="2" t="str">
        <f>IF(Сотрудники!A564&lt;&gt;"",Сотрудники!A564,"")</f>
        <v/>
      </c>
      <c r="B557" s="1" t="str">
        <f>IF(Сотрудники!B564 &lt;&gt; "",Сотрудники!B564,"")</f>
        <v/>
      </c>
    </row>
    <row r="558" spans="1:2" s="1" customFormat="1" x14ac:dyDescent="0.25">
      <c r="A558" s="2" t="str">
        <f>IF(Сотрудники!A565&lt;&gt;"",Сотрудники!A565,"")</f>
        <v/>
      </c>
      <c r="B558" s="1" t="str">
        <f>IF(Сотрудники!B565 &lt;&gt; "",Сотрудники!B565,"")</f>
        <v/>
      </c>
    </row>
    <row r="559" spans="1:2" s="1" customFormat="1" x14ac:dyDescent="0.25">
      <c r="A559" s="2" t="str">
        <f>IF(Сотрудники!A566&lt;&gt;"",Сотрудники!A566,"")</f>
        <v/>
      </c>
      <c r="B559" s="1" t="str">
        <f>IF(Сотрудники!B566 &lt;&gt; "",Сотрудники!B566,"")</f>
        <v/>
      </c>
    </row>
    <row r="560" spans="1:2" s="1" customFormat="1" x14ac:dyDescent="0.25">
      <c r="A560" s="2" t="str">
        <f>IF(Сотрудники!A567&lt;&gt;"",Сотрудники!A567,"")</f>
        <v/>
      </c>
      <c r="B560" s="1" t="str">
        <f>IF(Сотрудники!B567 &lt;&gt; "",Сотрудники!B567,"")</f>
        <v/>
      </c>
    </row>
    <row r="561" spans="1:2" s="1" customFormat="1" x14ac:dyDescent="0.25">
      <c r="A561" s="2" t="str">
        <f>IF(Сотрудники!A568&lt;&gt;"",Сотрудники!A568,"")</f>
        <v/>
      </c>
      <c r="B561" s="1" t="str">
        <f>IF(Сотрудники!B568 &lt;&gt; "",Сотрудники!B568,"")</f>
        <v/>
      </c>
    </row>
    <row r="562" spans="1:2" s="1" customFormat="1" x14ac:dyDescent="0.25">
      <c r="A562" s="2" t="str">
        <f>IF(Сотрудники!A569&lt;&gt;"",Сотрудники!A569,"")</f>
        <v/>
      </c>
      <c r="B562" s="1" t="str">
        <f>IF(Сотрудники!B569 &lt;&gt; "",Сотрудники!B569,"")</f>
        <v/>
      </c>
    </row>
    <row r="563" spans="1:2" s="1" customFormat="1" x14ac:dyDescent="0.25">
      <c r="A563" s="2" t="str">
        <f>IF(Сотрудники!A570&lt;&gt;"",Сотрудники!A570,"")</f>
        <v/>
      </c>
      <c r="B563" s="1" t="str">
        <f>IF(Сотрудники!B570 &lt;&gt; "",Сотрудники!B570,"")</f>
        <v/>
      </c>
    </row>
    <row r="564" spans="1:2" s="1" customFormat="1" x14ac:dyDescent="0.25">
      <c r="A564" s="2" t="str">
        <f>IF(Сотрудники!A571&lt;&gt;"",Сотрудники!A571,"")</f>
        <v/>
      </c>
      <c r="B564" s="1" t="str">
        <f>IF(Сотрудники!B571 &lt;&gt; "",Сотрудники!B571,"")</f>
        <v/>
      </c>
    </row>
    <row r="565" spans="1:2" s="1" customFormat="1" x14ac:dyDescent="0.25">
      <c r="A565" s="2" t="str">
        <f>IF(Сотрудники!A572&lt;&gt;"",Сотрудники!A572,"")</f>
        <v/>
      </c>
      <c r="B565" s="1" t="str">
        <f>IF(Сотрудники!B572 &lt;&gt; "",Сотрудники!B572,"")</f>
        <v/>
      </c>
    </row>
    <row r="566" spans="1:2" s="1" customFormat="1" x14ac:dyDescent="0.25">
      <c r="A566" s="2" t="str">
        <f>IF(Сотрудники!A573&lt;&gt;"",Сотрудники!A573,"")</f>
        <v/>
      </c>
      <c r="B566" s="1" t="str">
        <f>IF(Сотрудники!B573 &lt;&gt; "",Сотрудники!B573,"")</f>
        <v/>
      </c>
    </row>
    <row r="567" spans="1:2" s="1" customFormat="1" x14ac:dyDescent="0.25">
      <c r="A567" s="2" t="str">
        <f>IF(Сотрудники!A574&lt;&gt;"",Сотрудники!A574,"")</f>
        <v/>
      </c>
      <c r="B567" s="1" t="str">
        <f>IF(Сотрудники!B574 &lt;&gt; "",Сотрудники!B574,"")</f>
        <v/>
      </c>
    </row>
    <row r="568" spans="1:2" s="1" customFormat="1" x14ac:dyDescent="0.25">
      <c r="A568" s="2" t="str">
        <f>IF(Сотрудники!A575&lt;&gt;"",Сотрудники!A575,"")</f>
        <v/>
      </c>
      <c r="B568" s="1" t="str">
        <f>IF(Сотрудники!B575 &lt;&gt; "",Сотрудники!B575,"")</f>
        <v/>
      </c>
    </row>
    <row r="569" spans="1:2" s="1" customFormat="1" x14ac:dyDescent="0.25">
      <c r="A569" s="2" t="str">
        <f>IF(Сотрудники!A576&lt;&gt;"",Сотрудники!A576,"")</f>
        <v/>
      </c>
      <c r="B569" s="1" t="str">
        <f>IF(Сотрудники!B576 &lt;&gt; "",Сотрудники!B576,"")</f>
        <v/>
      </c>
    </row>
    <row r="570" spans="1:2" s="1" customFormat="1" x14ac:dyDescent="0.25">
      <c r="A570" s="2" t="str">
        <f>IF(Сотрудники!A577&lt;&gt;"",Сотрудники!A577,"")</f>
        <v/>
      </c>
      <c r="B570" s="1" t="str">
        <f>IF(Сотрудники!B577 &lt;&gt; "",Сотрудники!B577,"")</f>
        <v/>
      </c>
    </row>
    <row r="571" spans="1:2" s="1" customFormat="1" x14ac:dyDescent="0.25">
      <c r="A571" s="2" t="str">
        <f>IF(Сотрудники!A578&lt;&gt;"",Сотрудники!A578,"")</f>
        <v/>
      </c>
      <c r="B571" s="1" t="str">
        <f>IF(Сотрудники!B578 &lt;&gt; "",Сотрудники!B578,"")</f>
        <v/>
      </c>
    </row>
    <row r="572" spans="1:2" s="1" customFormat="1" x14ac:dyDescent="0.25">
      <c r="A572" s="2" t="str">
        <f>IF(Сотрудники!A579&lt;&gt;"",Сотрудники!A579,"")</f>
        <v/>
      </c>
      <c r="B572" s="1" t="str">
        <f>IF(Сотрудники!B579 &lt;&gt; "",Сотрудники!B579,"")</f>
        <v/>
      </c>
    </row>
    <row r="573" spans="1:2" s="1" customFormat="1" x14ac:dyDescent="0.25">
      <c r="A573" s="2" t="str">
        <f>IF(Сотрудники!A580&lt;&gt;"",Сотрудники!A580,"")</f>
        <v/>
      </c>
      <c r="B573" s="1" t="str">
        <f>IF(Сотрудники!B580 &lt;&gt; "",Сотрудники!B580,"")</f>
        <v/>
      </c>
    </row>
    <row r="574" spans="1:2" s="1" customFormat="1" x14ac:dyDescent="0.25">
      <c r="A574" s="2" t="str">
        <f>IF(Сотрудники!A581&lt;&gt;"",Сотрудники!A581,"")</f>
        <v/>
      </c>
      <c r="B574" s="1" t="str">
        <f>IF(Сотрудники!B581 &lt;&gt; "",Сотрудники!B581,"")</f>
        <v/>
      </c>
    </row>
    <row r="575" spans="1:2" s="1" customFormat="1" x14ac:dyDescent="0.25">
      <c r="A575" s="2" t="str">
        <f>IF(Сотрудники!A582&lt;&gt;"",Сотрудники!A582,"")</f>
        <v/>
      </c>
      <c r="B575" s="1" t="str">
        <f>IF(Сотрудники!B582 &lt;&gt; "",Сотрудники!B582,"")</f>
        <v/>
      </c>
    </row>
    <row r="576" spans="1:2" s="1" customFormat="1" x14ac:dyDescent="0.25">
      <c r="A576" s="2" t="str">
        <f>IF(Сотрудники!A583&lt;&gt;"",Сотрудники!A583,"")</f>
        <v/>
      </c>
      <c r="B576" s="1" t="str">
        <f>IF(Сотрудники!B583 &lt;&gt; "",Сотрудники!B583,"")</f>
        <v/>
      </c>
    </row>
    <row r="577" spans="1:2" s="1" customFormat="1" x14ac:dyDescent="0.25">
      <c r="A577" s="2" t="str">
        <f>IF(Сотрудники!A584&lt;&gt;"",Сотрудники!A584,"")</f>
        <v/>
      </c>
      <c r="B577" s="1" t="str">
        <f>IF(Сотрудники!B584 &lt;&gt; "",Сотрудники!B584,"")</f>
        <v/>
      </c>
    </row>
    <row r="578" spans="1:2" s="1" customFormat="1" x14ac:dyDescent="0.25">
      <c r="A578" s="2" t="str">
        <f>IF(Сотрудники!A585&lt;&gt;"",Сотрудники!A585,"")</f>
        <v/>
      </c>
      <c r="B578" s="1" t="str">
        <f>IF(Сотрудники!B585 &lt;&gt; "",Сотрудники!B585,"")</f>
        <v/>
      </c>
    </row>
    <row r="579" spans="1:2" s="1" customFormat="1" x14ac:dyDescent="0.25">
      <c r="A579" s="2" t="str">
        <f>IF(Сотрудники!A586&lt;&gt;"",Сотрудники!A586,"")</f>
        <v/>
      </c>
      <c r="B579" s="1" t="str">
        <f>IF(Сотрудники!B586 &lt;&gt; "",Сотрудники!B586,"")</f>
        <v/>
      </c>
    </row>
    <row r="580" spans="1:2" s="1" customFormat="1" x14ac:dyDescent="0.25">
      <c r="A580" s="2" t="str">
        <f>IF(Сотрудники!A587&lt;&gt;"",Сотрудники!A587,"")</f>
        <v/>
      </c>
      <c r="B580" s="1" t="str">
        <f>IF(Сотрудники!B587 &lt;&gt; "",Сотрудники!B587,"")</f>
        <v/>
      </c>
    </row>
    <row r="581" spans="1:2" s="1" customFormat="1" x14ac:dyDescent="0.25">
      <c r="A581" s="2" t="str">
        <f>IF(Сотрудники!A588&lt;&gt;"",Сотрудники!A588,"")</f>
        <v/>
      </c>
      <c r="B581" s="1" t="str">
        <f>IF(Сотрудники!B588 &lt;&gt; "",Сотрудники!B588,"")</f>
        <v/>
      </c>
    </row>
    <row r="582" spans="1:2" s="1" customFormat="1" x14ac:dyDescent="0.25">
      <c r="A582" s="2" t="str">
        <f>IF(Сотрудники!A589&lt;&gt;"",Сотрудники!A589,"")</f>
        <v/>
      </c>
      <c r="B582" s="1" t="str">
        <f>IF(Сотрудники!B589 &lt;&gt; "",Сотрудники!B589,"")</f>
        <v/>
      </c>
    </row>
    <row r="583" spans="1:2" s="1" customFormat="1" x14ac:dyDescent="0.25">
      <c r="A583" s="2" t="str">
        <f>IF(Сотрудники!A590&lt;&gt;"",Сотрудники!A590,"")</f>
        <v/>
      </c>
      <c r="B583" s="1" t="str">
        <f>IF(Сотрудники!B590 &lt;&gt; "",Сотрудники!B590,"")</f>
        <v/>
      </c>
    </row>
    <row r="584" spans="1:2" s="1" customFormat="1" x14ac:dyDescent="0.25">
      <c r="A584" s="2" t="str">
        <f>IF(Сотрудники!A591&lt;&gt;"",Сотрудники!A591,"")</f>
        <v/>
      </c>
      <c r="B584" s="1" t="str">
        <f>IF(Сотрудники!B591 &lt;&gt; "",Сотрудники!B591,"")</f>
        <v/>
      </c>
    </row>
    <row r="585" spans="1:2" s="1" customFormat="1" x14ac:dyDescent="0.25">
      <c r="A585" s="2" t="str">
        <f>IF(Сотрудники!A592&lt;&gt;"",Сотрудники!A592,"")</f>
        <v/>
      </c>
      <c r="B585" s="1" t="str">
        <f>IF(Сотрудники!B592 &lt;&gt; "",Сотрудники!B592,"")</f>
        <v/>
      </c>
    </row>
    <row r="586" spans="1:2" s="1" customFormat="1" x14ac:dyDescent="0.25">
      <c r="A586" s="2" t="str">
        <f>IF(Сотрудники!A593&lt;&gt;"",Сотрудники!A593,"")</f>
        <v/>
      </c>
      <c r="B586" s="1" t="str">
        <f>IF(Сотрудники!B593 &lt;&gt; "",Сотрудники!B593,"")</f>
        <v/>
      </c>
    </row>
    <row r="587" spans="1:2" s="1" customFormat="1" x14ac:dyDescent="0.25">
      <c r="A587" s="2" t="str">
        <f>IF(Сотрудники!A594&lt;&gt;"",Сотрудники!A594,"")</f>
        <v/>
      </c>
      <c r="B587" s="1" t="str">
        <f>IF(Сотрудники!B594 &lt;&gt; "",Сотрудники!B594,"")</f>
        <v/>
      </c>
    </row>
    <row r="588" spans="1:2" s="1" customFormat="1" x14ac:dyDescent="0.25">
      <c r="A588" s="2" t="str">
        <f>IF(Сотрудники!A595&lt;&gt;"",Сотрудники!A595,"")</f>
        <v/>
      </c>
      <c r="B588" s="1" t="str">
        <f>IF(Сотрудники!B595 &lt;&gt; "",Сотрудники!B595,"")</f>
        <v/>
      </c>
    </row>
    <row r="589" spans="1:2" s="1" customFormat="1" x14ac:dyDescent="0.25">
      <c r="A589" s="2" t="str">
        <f>IF(Сотрудники!A596&lt;&gt;"",Сотрудники!A596,"")</f>
        <v/>
      </c>
      <c r="B589" s="1" t="str">
        <f>IF(Сотрудники!B596 &lt;&gt; "",Сотрудники!B596,"")</f>
        <v/>
      </c>
    </row>
    <row r="590" spans="1:2" s="1" customFormat="1" x14ac:dyDescent="0.25">
      <c r="A590" s="2" t="str">
        <f>IF(Сотрудники!A597&lt;&gt;"",Сотрудники!A597,"")</f>
        <v/>
      </c>
      <c r="B590" s="1" t="str">
        <f>IF(Сотрудники!B597 &lt;&gt; "",Сотрудники!B597,"")</f>
        <v/>
      </c>
    </row>
    <row r="591" spans="1:2" s="1" customFormat="1" x14ac:dyDescent="0.25">
      <c r="A591" s="2" t="str">
        <f>IF(Сотрудники!A598&lt;&gt;"",Сотрудники!A598,"")</f>
        <v/>
      </c>
      <c r="B591" s="1" t="str">
        <f>IF(Сотрудники!B598 &lt;&gt; "",Сотрудники!B598,"")</f>
        <v/>
      </c>
    </row>
    <row r="592" spans="1:2" s="1" customFormat="1" x14ac:dyDescent="0.25">
      <c r="A592" s="2" t="str">
        <f>IF(Сотрудники!A599&lt;&gt;"",Сотрудники!A599,"")</f>
        <v/>
      </c>
      <c r="B592" s="1" t="str">
        <f>IF(Сотрудники!B599 &lt;&gt; "",Сотрудники!B599,"")</f>
        <v/>
      </c>
    </row>
    <row r="593" spans="1:2" s="1" customFormat="1" x14ac:dyDescent="0.25">
      <c r="A593" s="2" t="str">
        <f>IF(Сотрудники!A600&lt;&gt;"",Сотрудники!A600,"")</f>
        <v/>
      </c>
      <c r="B593" s="1" t="str">
        <f>IF(Сотрудники!B600 &lt;&gt; "",Сотрудники!B600,"")</f>
        <v/>
      </c>
    </row>
    <row r="594" spans="1:2" s="1" customFormat="1" x14ac:dyDescent="0.25">
      <c r="A594" s="2" t="str">
        <f>IF(Сотрудники!A601&lt;&gt;"",Сотрудники!A601,"")</f>
        <v/>
      </c>
      <c r="B594" s="1" t="str">
        <f>IF(Сотрудники!B601 &lt;&gt; "",Сотрудники!B601,"")</f>
        <v/>
      </c>
    </row>
    <row r="595" spans="1:2" s="1" customFormat="1" x14ac:dyDescent="0.25">
      <c r="A595" s="2" t="str">
        <f>IF(Сотрудники!A602&lt;&gt;"",Сотрудники!A602,"")</f>
        <v/>
      </c>
      <c r="B595" s="1" t="str">
        <f>IF(Сотрудники!B602 &lt;&gt; "",Сотрудники!B602,"")</f>
        <v/>
      </c>
    </row>
    <row r="596" spans="1:2" s="1" customFormat="1" x14ac:dyDescent="0.25">
      <c r="A596" s="2" t="str">
        <f>IF(Сотрудники!A603&lt;&gt;"",Сотрудники!A603,"")</f>
        <v/>
      </c>
      <c r="B596" s="1" t="str">
        <f>IF(Сотрудники!B603 &lt;&gt; "",Сотрудники!B603,"")</f>
        <v/>
      </c>
    </row>
    <row r="597" spans="1:2" s="1" customFormat="1" x14ac:dyDescent="0.25">
      <c r="A597" s="2" t="str">
        <f>IF(Сотрудники!A604&lt;&gt;"",Сотрудники!A604,"")</f>
        <v/>
      </c>
      <c r="B597" s="1" t="str">
        <f>IF(Сотрудники!B604 &lt;&gt; "",Сотрудники!B604,"")</f>
        <v/>
      </c>
    </row>
    <row r="598" spans="1:2" s="1" customFormat="1" x14ac:dyDescent="0.25">
      <c r="A598" s="2" t="str">
        <f>IF(Сотрудники!A605&lt;&gt;"",Сотрудники!A605,"")</f>
        <v/>
      </c>
      <c r="B598" s="1" t="str">
        <f>IF(Сотрудники!B605 &lt;&gt; "",Сотрудники!B605,"")</f>
        <v/>
      </c>
    </row>
    <row r="599" spans="1:2" s="1" customFormat="1" x14ac:dyDescent="0.25">
      <c r="A599" s="2" t="str">
        <f>IF(Сотрудники!A606&lt;&gt;"",Сотрудники!A606,"")</f>
        <v/>
      </c>
      <c r="B599" s="1" t="str">
        <f>IF(Сотрудники!B606 &lt;&gt; "",Сотрудники!B606,"")</f>
        <v/>
      </c>
    </row>
    <row r="600" spans="1:2" s="1" customFormat="1" x14ac:dyDescent="0.25">
      <c r="A600" s="2" t="str">
        <f>IF(Сотрудники!A607&lt;&gt;"",Сотрудники!A607,"")</f>
        <v/>
      </c>
      <c r="B600" s="1" t="str">
        <f>IF(Сотрудники!B607 &lt;&gt; "",Сотрудники!B607,"")</f>
        <v/>
      </c>
    </row>
    <row r="601" spans="1:2" s="1" customFormat="1" x14ac:dyDescent="0.25">
      <c r="A601" s="2" t="str">
        <f>IF(Сотрудники!A608&lt;&gt;"",Сотрудники!A608,"")</f>
        <v/>
      </c>
      <c r="B601" s="1" t="str">
        <f>IF(Сотрудники!B608 &lt;&gt; "",Сотрудники!B608,"")</f>
        <v/>
      </c>
    </row>
    <row r="602" spans="1:2" s="1" customFormat="1" x14ac:dyDescent="0.25">
      <c r="A602" s="2" t="str">
        <f>IF(Сотрудники!A609&lt;&gt;"",Сотрудники!A609,"")</f>
        <v/>
      </c>
      <c r="B602" s="1" t="str">
        <f>IF(Сотрудники!B609 &lt;&gt; "",Сотрудники!B609,"")</f>
        <v/>
      </c>
    </row>
    <row r="603" spans="1:2" s="1" customFormat="1" x14ac:dyDescent="0.25">
      <c r="A603" s="2" t="str">
        <f>IF(Сотрудники!A610&lt;&gt;"",Сотрудники!A610,"")</f>
        <v/>
      </c>
      <c r="B603" s="1" t="str">
        <f>IF(Сотрудники!B610 &lt;&gt; "",Сотрудники!B610,"")</f>
        <v/>
      </c>
    </row>
    <row r="604" spans="1:2" s="1" customFormat="1" x14ac:dyDescent="0.25">
      <c r="A604" s="2" t="str">
        <f>IF(Сотрудники!A611&lt;&gt;"",Сотрудники!A611,"")</f>
        <v/>
      </c>
      <c r="B604" s="1" t="str">
        <f>IF(Сотрудники!B611 &lt;&gt; "",Сотрудники!B611,"")</f>
        <v/>
      </c>
    </row>
    <row r="605" spans="1:2" s="1" customFormat="1" x14ac:dyDescent="0.25">
      <c r="A605" s="2" t="str">
        <f>IF(Сотрудники!A612&lt;&gt;"",Сотрудники!A612,"")</f>
        <v/>
      </c>
      <c r="B605" s="1" t="str">
        <f>IF(Сотрудники!B612 &lt;&gt; "",Сотрудники!B612,"")</f>
        <v/>
      </c>
    </row>
    <row r="606" spans="1:2" s="1" customFormat="1" x14ac:dyDescent="0.25">
      <c r="A606" s="2" t="str">
        <f>IF(Сотрудники!A613&lt;&gt;"",Сотрудники!A613,"")</f>
        <v/>
      </c>
      <c r="B606" s="1" t="str">
        <f>IF(Сотрудники!B613 &lt;&gt; "",Сотрудники!B613,"")</f>
        <v/>
      </c>
    </row>
    <row r="607" spans="1:2" s="1" customFormat="1" x14ac:dyDescent="0.25">
      <c r="A607" s="2" t="str">
        <f>IF(Сотрудники!A614&lt;&gt;"",Сотрудники!A614,"")</f>
        <v/>
      </c>
      <c r="B607" s="1" t="str">
        <f>IF(Сотрудники!B614 &lt;&gt; "",Сотрудники!B614,"")</f>
        <v/>
      </c>
    </row>
    <row r="608" spans="1:2" s="1" customFormat="1" x14ac:dyDescent="0.25">
      <c r="A608" s="2" t="str">
        <f>IF(Сотрудники!A615&lt;&gt;"",Сотрудники!A615,"")</f>
        <v/>
      </c>
      <c r="B608" s="1" t="str">
        <f>IF(Сотрудники!B615 &lt;&gt; "",Сотрудники!B615,"")</f>
        <v/>
      </c>
    </row>
    <row r="609" spans="1:2" s="1" customFormat="1" x14ac:dyDescent="0.25">
      <c r="A609" s="2" t="str">
        <f>IF(Сотрудники!A616&lt;&gt;"",Сотрудники!A616,"")</f>
        <v/>
      </c>
      <c r="B609" s="1" t="str">
        <f>IF(Сотрудники!B616 &lt;&gt; "",Сотрудники!B616,"")</f>
        <v/>
      </c>
    </row>
    <row r="610" spans="1:2" s="1" customFormat="1" x14ac:dyDescent="0.25">
      <c r="A610" s="2" t="str">
        <f>IF(Сотрудники!A617&lt;&gt;"",Сотрудники!A617,"")</f>
        <v/>
      </c>
      <c r="B610" s="1" t="str">
        <f>IF(Сотрудники!B617 &lt;&gt; "",Сотрудники!B617,"")</f>
        <v/>
      </c>
    </row>
    <row r="611" spans="1:2" s="1" customFormat="1" x14ac:dyDescent="0.25">
      <c r="A611" s="2" t="str">
        <f>IF(Сотрудники!A618&lt;&gt;"",Сотрудники!A618,"")</f>
        <v/>
      </c>
      <c r="B611" s="1" t="str">
        <f>IF(Сотрудники!B618 &lt;&gt; "",Сотрудники!B618,"")</f>
        <v/>
      </c>
    </row>
    <row r="612" spans="1:2" s="1" customFormat="1" x14ac:dyDescent="0.25">
      <c r="A612" s="2" t="str">
        <f>IF(Сотрудники!A619&lt;&gt;"",Сотрудники!A619,"")</f>
        <v/>
      </c>
      <c r="B612" s="1" t="str">
        <f>IF(Сотрудники!B619 &lt;&gt; "",Сотрудники!B619,"")</f>
        <v/>
      </c>
    </row>
    <row r="613" spans="1:2" s="1" customFormat="1" x14ac:dyDescent="0.25">
      <c r="A613" s="2" t="str">
        <f>IF(Сотрудники!A620&lt;&gt;"",Сотрудники!A620,"")</f>
        <v/>
      </c>
      <c r="B613" s="1" t="str">
        <f>IF(Сотрудники!B620 &lt;&gt; "",Сотрудники!B620,"")</f>
        <v/>
      </c>
    </row>
    <row r="614" spans="1:2" s="1" customFormat="1" x14ac:dyDescent="0.25">
      <c r="A614" s="2" t="str">
        <f>IF(Сотрудники!A621&lt;&gt;"",Сотрудники!A621,"")</f>
        <v/>
      </c>
      <c r="B614" s="1" t="str">
        <f>IF(Сотрудники!B621 &lt;&gt; "",Сотрудники!B621,"")</f>
        <v/>
      </c>
    </row>
    <row r="615" spans="1:2" s="1" customFormat="1" x14ac:dyDescent="0.25">
      <c r="A615" s="2" t="str">
        <f>IF(Сотрудники!A622&lt;&gt;"",Сотрудники!A622,"")</f>
        <v/>
      </c>
      <c r="B615" s="1" t="str">
        <f>IF(Сотрудники!B622 &lt;&gt; "",Сотрудники!B622,"")</f>
        <v/>
      </c>
    </row>
    <row r="616" spans="1:2" s="1" customFormat="1" x14ac:dyDescent="0.25">
      <c r="A616" s="2" t="str">
        <f>IF(Сотрудники!A623&lt;&gt;"",Сотрудники!A623,"")</f>
        <v/>
      </c>
      <c r="B616" s="1" t="str">
        <f>IF(Сотрудники!B623 &lt;&gt; "",Сотрудники!B623,"")</f>
        <v/>
      </c>
    </row>
    <row r="617" spans="1:2" s="1" customFormat="1" x14ac:dyDescent="0.25">
      <c r="A617" s="2" t="str">
        <f>IF(Сотрудники!A624&lt;&gt;"",Сотрудники!A624,"")</f>
        <v/>
      </c>
      <c r="B617" s="1" t="str">
        <f>IF(Сотрудники!B624 &lt;&gt; "",Сотрудники!B624,"")</f>
        <v/>
      </c>
    </row>
    <row r="618" spans="1:2" s="1" customFormat="1" x14ac:dyDescent="0.25">
      <c r="A618" s="2" t="str">
        <f>IF(Сотрудники!A625&lt;&gt;"",Сотрудники!A625,"")</f>
        <v/>
      </c>
      <c r="B618" s="1" t="str">
        <f>IF(Сотрудники!B625 &lt;&gt; "",Сотрудники!B625,"")</f>
        <v/>
      </c>
    </row>
    <row r="619" spans="1:2" s="1" customFormat="1" x14ac:dyDescent="0.25">
      <c r="A619" s="2" t="str">
        <f>IF(Сотрудники!A626&lt;&gt;"",Сотрудники!A626,"")</f>
        <v/>
      </c>
      <c r="B619" s="1" t="str">
        <f>IF(Сотрудники!B626 &lt;&gt; "",Сотрудники!B626,"")</f>
        <v/>
      </c>
    </row>
    <row r="620" spans="1:2" s="1" customFormat="1" x14ac:dyDescent="0.25">
      <c r="A620" s="2" t="str">
        <f>IF(Сотрудники!A627&lt;&gt;"",Сотрудники!A627,"")</f>
        <v/>
      </c>
      <c r="B620" s="1" t="str">
        <f>IF(Сотрудники!B627 &lt;&gt; "",Сотрудники!B627,"")</f>
        <v/>
      </c>
    </row>
    <row r="621" spans="1:2" s="1" customFormat="1" x14ac:dyDescent="0.25">
      <c r="A621" s="2" t="str">
        <f>IF(Сотрудники!A628&lt;&gt;"",Сотрудники!A628,"")</f>
        <v/>
      </c>
      <c r="B621" s="1" t="str">
        <f>IF(Сотрудники!B628 &lt;&gt; "",Сотрудники!B628,"")</f>
        <v/>
      </c>
    </row>
    <row r="622" spans="1:2" s="1" customFormat="1" x14ac:dyDescent="0.25">
      <c r="A622" s="2" t="str">
        <f>IF(Сотрудники!A629&lt;&gt;"",Сотрудники!A629,"")</f>
        <v/>
      </c>
      <c r="B622" s="1" t="str">
        <f>IF(Сотрудники!B629 &lt;&gt; "",Сотрудники!B629,"")</f>
        <v/>
      </c>
    </row>
    <row r="623" spans="1:2" s="1" customFormat="1" x14ac:dyDescent="0.25">
      <c r="A623" s="2" t="str">
        <f>IF(Сотрудники!A630&lt;&gt;"",Сотрудники!A630,"")</f>
        <v/>
      </c>
      <c r="B623" s="1" t="str">
        <f>IF(Сотрудники!B630 &lt;&gt; "",Сотрудники!B630,"")</f>
        <v/>
      </c>
    </row>
    <row r="624" spans="1:2" s="1" customFormat="1" x14ac:dyDescent="0.25">
      <c r="A624" s="2" t="str">
        <f>IF(Сотрудники!A631&lt;&gt;"",Сотрудники!A631,"")</f>
        <v/>
      </c>
      <c r="B624" s="1" t="str">
        <f>IF(Сотрудники!B631 &lt;&gt; "",Сотрудники!B631,"")</f>
        <v/>
      </c>
    </row>
    <row r="625" spans="1:2" s="1" customFormat="1" x14ac:dyDescent="0.25">
      <c r="A625" s="2" t="str">
        <f>IF(Сотрудники!A632&lt;&gt;"",Сотрудники!A632,"")</f>
        <v/>
      </c>
      <c r="B625" s="1" t="str">
        <f>IF(Сотрудники!B632 &lt;&gt; "",Сотрудники!B632,"")</f>
        <v/>
      </c>
    </row>
    <row r="626" spans="1:2" s="1" customFormat="1" x14ac:dyDescent="0.25">
      <c r="A626" s="2" t="str">
        <f>IF(Сотрудники!A633&lt;&gt;"",Сотрудники!A633,"")</f>
        <v/>
      </c>
      <c r="B626" s="1" t="str">
        <f>IF(Сотрудники!B633 &lt;&gt; "",Сотрудники!B633,"")</f>
        <v/>
      </c>
    </row>
    <row r="627" spans="1:2" s="1" customFormat="1" x14ac:dyDescent="0.25">
      <c r="A627" s="2" t="str">
        <f>IF(Сотрудники!A634&lt;&gt;"",Сотрудники!A634,"")</f>
        <v/>
      </c>
      <c r="B627" s="1" t="str">
        <f>IF(Сотрудники!B634 &lt;&gt; "",Сотрудники!B634,"")</f>
        <v/>
      </c>
    </row>
    <row r="628" spans="1:2" s="1" customFormat="1" x14ac:dyDescent="0.25">
      <c r="A628" s="2" t="str">
        <f>IF(Сотрудники!A635&lt;&gt;"",Сотрудники!A635,"")</f>
        <v/>
      </c>
      <c r="B628" s="1" t="str">
        <f>IF(Сотрудники!B635 &lt;&gt; "",Сотрудники!B635,"")</f>
        <v/>
      </c>
    </row>
    <row r="629" spans="1:2" s="1" customFormat="1" x14ac:dyDescent="0.25">
      <c r="A629" s="2" t="str">
        <f>IF(Сотрудники!A636&lt;&gt;"",Сотрудники!A636,"")</f>
        <v/>
      </c>
      <c r="B629" s="1" t="str">
        <f>IF(Сотрудники!B636 &lt;&gt; "",Сотрудники!B636,"")</f>
        <v/>
      </c>
    </row>
    <row r="630" spans="1:2" s="1" customFormat="1" x14ac:dyDescent="0.25">
      <c r="A630" s="2" t="str">
        <f>IF(Сотрудники!A637&lt;&gt;"",Сотрудники!A637,"")</f>
        <v/>
      </c>
      <c r="B630" s="1" t="str">
        <f>IF(Сотрудники!B637 &lt;&gt; "",Сотрудники!B637,"")</f>
        <v/>
      </c>
    </row>
    <row r="631" spans="1:2" s="1" customFormat="1" x14ac:dyDescent="0.25">
      <c r="A631" s="2" t="str">
        <f>IF(Сотрудники!A638&lt;&gt;"",Сотрудники!A638,"")</f>
        <v/>
      </c>
      <c r="B631" s="1" t="str">
        <f>IF(Сотрудники!B638 &lt;&gt; "",Сотрудники!B638,"")</f>
        <v/>
      </c>
    </row>
    <row r="632" spans="1:2" s="1" customFormat="1" x14ac:dyDescent="0.25">
      <c r="A632" s="2" t="str">
        <f>IF(Сотрудники!A639&lt;&gt;"",Сотрудники!A639,"")</f>
        <v/>
      </c>
      <c r="B632" s="1" t="str">
        <f>IF(Сотрудники!B639 &lt;&gt; "",Сотрудники!B639,"")</f>
        <v/>
      </c>
    </row>
    <row r="633" spans="1:2" s="1" customFormat="1" x14ac:dyDescent="0.25">
      <c r="A633" s="2" t="str">
        <f>IF(Сотрудники!A640&lt;&gt;"",Сотрудники!A640,"")</f>
        <v/>
      </c>
      <c r="B633" s="1" t="str">
        <f>IF(Сотрудники!B640 &lt;&gt; "",Сотрудники!B640,"")</f>
        <v/>
      </c>
    </row>
    <row r="634" spans="1:2" s="1" customFormat="1" x14ac:dyDescent="0.25">
      <c r="A634" s="2" t="str">
        <f>IF(Сотрудники!A641&lt;&gt;"",Сотрудники!A641,"")</f>
        <v/>
      </c>
      <c r="B634" s="1" t="str">
        <f>IF(Сотрудники!B641 &lt;&gt; "",Сотрудники!B641,"")</f>
        <v/>
      </c>
    </row>
    <row r="635" spans="1:2" s="1" customFormat="1" x14ac:dyDescent="0.25">
      <c r="A635" s="2" t="str">
        <f>IF(Сотрудники!A642&lt;&gt;"",Сотрудники!A642,"")</f>
        <v/>
      </c>
      <c r="B635" s="1" t="str">
        <f>IF(Сотрудники!B642 &lt;&gt; "",Сотрудники!B642,"")</f>
        <v/>
      </c>
    </row>
    <row r="636" spans="1:2" s="1" customFormat="1" x14ac:dyDescent="0.25">
      <c r="A636" s="2" t="str">
        <f>IF(Сотрудники!A643&lt;&gt;"",Сотрудники!A643,"")</f>
        <v/>
      </c>
      <c r="B636" s="1" t="str">
        <f>IF(Сотрудники!B643 &lt;&gt; "",Сотрудники!B643,"")</f>
        <v/>
      </c>
    </row>
    <row r="637" spans="1:2" s="1" customFormat="1" x14ac:dyDescent="0.25">
      <c r="A637" s="2" t="str">
        <f>IF(Сотрудники!A644&lt;&gt;"",Сотрудники!A644,"")</f>
        <v/>
      </c>
      <c r="B637" s="1" t="str">
        <f>IF(Сотрудники!B644 &lt;&gt; "",Сотрудники!B644,"")</f>
        <v/>
      </c>
    </row>
    <row r="638" spans="1:2" s="1" customFormat="1" x14ac:dyDescent="0.25">
      <c r="A638" s="2" t="str">
        <f>IF(Сотрудники!A645&lt;&gt;"",Сотрудники!A645,"")</f>
        <v/>
      </c>
      <c r="B638" s="1" t="str">
        <f>IF(Сотрудники!B645 &lt;&gt; "",Сотрудники!B645,"")</f>
        <v/>
      </c>
    </row>
    <row r="639" spans="1:2" s="1" customFormat="1" x14ac:dyDescent="0.25">
      <c r="A639" s="2" t="str">
        <f>IF(Сотрудники!A646&lt;&gt;"",Сотрудники!A646,"")</f>
        <v/>
      </c>
      <c r="B639" s="1" t="str">
        <f>IF(Сотрудники!B646 &lt;&gt; "",Сотрудники!B646,"")</f>
        <v/>
      </c>
    </row>
    <row r="640" spans="1:2" s="1" customFormat="1" x14ac:dyDescent="0.25">
      <c r="A640" s="2" t="str">
        <f>IF(Сотрудники!A647&lt;&gt;"",Сотрудники!A647,"")</f>
        <v/>
      </c>
      <c r="B640" s="1" t="str">
        <f>IF(Сотрудники!B647 &lt;&gt; "",Сотрудники!B647,"")</f>
        <v/>
      </c>
    </row>
    <row r="641" spans="1:2" s="1" customFormat="1" x14ac:dyDescent="0.25">
      <c r="A641" s="2" t="str">
        <f>IF(Сотрудники!A648&lt;&gt;"",Сотрудники!A648,"")</f>
        <v/>
      </c>
      <c r="B641" s="1" t="str">
        <f>IF(Сотрудники!B648 &lt;&gt; "",Сотрудники!B648,"")</f>
        <v/>
      </c>
    </row>
    <row r="642" spans="1:2" s="1" customFormat="1" x14ac:dyDescent="0.25">
      <c r="A642" s="2" t="str">
        <f>IF(Сотрудники!A649&lt;&gt;"",Сотрудники!A649,"")</f>
        <v/>
      </c>
      <c r="B642" s="1" t="str">
        <f>IF(Сотрудники!B649 &lt;&gt; "",Сотрудники!B649,"")</f>
        <v/>
      </c>
    </row>
    <row r="643" spans="1:2" s="1" customFormat="1" x14ac:dyDescent="0.25">
      <c r="A643" s="2" t="str">
        <f>IF(Сотрудники!A650&lt;&gt;"",Сотрудники!A650,"")</f>
        <v/>
      </c>
      <c r="B643" s="1" t="str">
        <f>IF(Сотрудники!B650 &lt;&gt; "",Сотрудники!B650,"")</f>
        <v/>
      </c>
    </row>
    <row r="644" spans="1:2" s="1" customFormat="1" x14ac:dyDescent="0.25">
      <c r="A644" s="2" t="str">
        <f>IF(Сотрудники!A651&lt;&gt;"",Сотрудники!A651,"")</f>
        <v/>
      </c>
      <c r="B644" s="1" t="str">
        <f>IF(Сотрудники!B651 &lt;&gt; "",Сотрудники!B651,"")</f>
        <v/>
      </c>
    </row>
    <row r="645" spans="1:2" s="1" customFormat="1" x14ac:dyDescent="0.25">
      <c r="A645" s="2" t="str">
        <f>IF(Сотрудники!A652&lt;&gt;"",Сотрудники!A652,"")</f>
        <v/>
      </c>
      <c r="B645" s="1" t="str">
        <f>IF(Сотрудники!B652 &lt;&gt; "",Сотрудники!B652,"")</f>
        <v/>
      </c>
    </row>
    <row r="646" spans="1:2" s="1" customFormat="1" x14ac:dyDescent="0.25">
      <c r="A646" s="2" t="str">
        <f>IF(Сотрудники!A653&lt;&gt;"",Сотрудники!A653,"")</f>
        <v/>
      </c>
      <c r="B646" s="1" t="str">
        <f>IF(Сотрудники!B653 &lt;&gt; "",Сотрудники!B653,"")</f>
        <v/>
      </c>
    </row>
    <row r="647" spans="1:2" s="1" customFormat="1" x14ac:dyDescent="0.25">
      <c r="A647" s="2" t="str">
        <f>IF(Сотрудники!A654&lt;&gt;"",Сотрудники!A654,"")</f>
        <v/>
      </c>
      <c r="B647" s="1" t="str">
        <f>IF(Сотрудники!B654 &lt;&gt; "",Сотрудники!B654,"")</f>
        <v/>
      </c>
    </row>
    <row r="648" spans="1:2" s="1" customFormat="1" x14ac:dyDescent="0.25">
      <c r="A648" s="2" t="str">
        <f>IF(Сотрудники!A655&lt;&gt;"",Сотрудники!A655,"")</f>
        <v/>
      </c>
      <c r="B648" s="1" t="str">
        <f>IF(Сотрудники!B655 &lt;&gt; "",Сотрудники!B655,"")</f>
        <v/>
      </c>
    </row>
    <row r="649" spans="1:2" s="1" customFormat="1" x14ac:dyDescent="0.25">
      <c r="A649" s="2" t="str">
        <f>IF(Сотрудники!A656&lt;&gt;"",Сотрудники!A656,"")</f>
        <v/>
      </c>
      <c r="B649" s="1" t="str">
        <f>IF(Сотрудники!B656 &lt;&gt; "",Сотрудники!B656,"")</f>
        <v/>
      </c>
    </row>
    <row r="650" spans="1:2" s="1" customFormat="1" x14ac:dyDescent="0.25">
      <c r="A650" s="2" t="str">
        <f>IF(Сотрудники!A657&lt;&gt;"",Сотрудники!A657,"")</f>
        <v/>
      </c>
      <c r="B650" s="1" t="str">
        <f>IF(Сотрудники!B657 &lt;&gt; "",Сотрудники!B657,"")</f>
        <v/>
      </c>
    </row>
    <row r="651" spans="1:2" s="1" customFormat="1" x14ac:dyDescent="0.25">
      <c r="A651" s="2" t="str">
        <f>IF(Сотрудники!A658&lt;&gt;"",Сотрудники!A658,"")</f>
        <v/>
      </c>
      <c r="B651" s="1" t="str">
        <f>IF(Сотрудники!B658 &lt;&gt; "",Сотрудники!B658,"")</f>
        <v/>
      </c>
    </row>
    <row r="652" spans="1:2" s="1" customFormat="1" x14ac:dyDescent="0.25">
      <c r="A652" s="2" t="str">
        <f>IF(Сотрудники!A659&lt;&gt;"",Сотрудники!A659,"")</f>
        <v/>
      </c>
      <c r="B652" s="1" t="str">
        <f>IF(Сотрудники!B659 &lt;&gt; "",Сотрудники!B659,"")</f>
        <v/>
      </c>
    </row>
    <row r="653" spans="1:2" s="1" customFormat="1" x14ac:dyDescent="0.25">
      <c r="A653" s="2" t="str">
        <f>IF(Сотрудники!A660&lt;&gt;"",Сотрудники!A660,"")</f>
        <v/>
      </c>
      <c r="B653" s="1" t="str">
        <f>IF(Сотрудники!B660 &lt;&gt; "",Сотрудники!B660,"")</f>
        <v/>
      </c>
    </row>
    <row r="654" spans="1:2" s="1" customFormat="1" x14ac:dyDescent="0.25">
      <c r="A654" s="2" t="str">
        <f>IF(Сотрудники!A661&lt;&gt;"",Сотрудники!A661,"")</f>
        <v/>
      </c>
      <c r="B654" s="1" t="str">
        <f>IF(Сотрудники!B661 &lt;&gt; "",Сотрудники!B661,"")</f>
        <v/>
      </c>
    </row>
    <row r="655" spans="1:2" s="1" customFormat="1" x14ac:dyDescent="0.25">
      <c r="A655" s="2" t="str">
        <f>IF(Сотрудники!A662&lt;&gt;"",Сотрудники!A662,"")</f>
        <v/>
      </c>
      <c r="B655" s="1" t="str">
        <f>IF(Сотрудники!B662 &lt;&gt; "",Сотрудники!B662,"")</f>
        <v/>
      </c>
    </row>
    <row r="656" spans="1:2" s="1" customFormat="1" x14ac:dyDescent="0.25">
      <c r="A656" s="2" t="str">
        <f>IF(Сотрудники!A663&lt;&gt;"",Сотрудники!A663,"")</f>
        <v/>
      </c>
      <c r="B656" s="1" t="str">
        <f>IF(Сотрудники!B663 &lt;&gt; "",Сотрудники!B663,"")</f>
        <v/>
      </c>
    </row>
    <row r="657" spans="1:2" s="1" customFormat="1" x14ac:dyDescent="0.25">
      <c r="A657" s="2" t="str">
        <f>IF(Сотрудники!A664&lt;&gt;"",Сотрудники!A664,"")</f>
        <v/>
      </c>
      <c r="B657" s="1" t="str">
        <f>IF(Сотрудники!B664 &lt;&gt; "",Сотрудники!B664,"")</f>
        <v/>
      </c>
    </row>
    <row r="658" spans="1:2" s="1" customFormat="1" x14ac:dyDescent="0.25">
      <c r="A658" s="2" t="str">
        <f>IF(Сотрудники!A665&lt;&gt;"",Сотрудники!A665,"")</f>
        <v/>
      </c>
      <c r="B658" s="1" t="str">
        <f>IF(Сотрудники!B665 &lt;&gt; "",Сотрудники!B665,"")</f>
        <v/>
      </c>
    </row>
    <row r="659" spans="1:2" s="1" customFormat="1" x14ac:dyDescent="0.25">
      <c r="A659" s="2" t="str">
        <f>IF(Сотрудники!A666&lt;&gt;"",Сотрудники!A666,"")</f>
        <v/>
      </c>
      <c r="B659" s="1" t="str">
        <f>IF(Сотрудники!B666 &lt;&gt; "",Сотрудники!B666,"")</f>
        <v/>
      </c>
    </row>
    <row r="660" spans="1:2" s="1" customFormat="1" x14ac:dyDescent="0.25">
      <c r="A660" s="2" t="str">
        <f>IF(Сотрудники!A667&lt;&gt;"",Сотрудники!A667,"")</f>
        <v/>
      </c>
      <c r="B660" s="1" t="str">
        <f>IF(Сотрудники!B667 &lt;&gt; "",Сотрудники!B667,"")</f>
        <v/>
      </c>
    </row>
    <row r="661" spans="1:2" s="1" customFormat="1" x14ac:dyDescent="0.25">
      <c r="A661" s="2" t="str">
        <f>IF(Сотрудники!A668&lt;&gt;"",Сотрудники!A668,"")</f>
        <v/>
      </c>
      <c r="B661" s="1" t="str">
        <f>IF(Сотрудники!B668 &lt;&gt; "",Сотрудники!B668,"")</f>
        <v/>
      </c>
    </row>
    <row r="662" spans="1:2" s="1" customFormat="1" x14ac:dyDescent="0.25">
      <c r="A662" s="2" t="str">
        <f>IF(Сотрудники!A669&lt;&gt;"",Сотрудники!A669,"")</f>
        <v/>
      </c>
      <c r="B662" s="1" t="str">
        <f>IF(Сотрудники!B669 &lt;&gt; "",Сотрудники!B669,"")</f>
        <v/>
      </c>
    </row>
    <row r="663" spans="1:2" s="1" customFormat="1" x14ac:dyDescent="0.25">
      <c r="A663" s="2" t="str">
        <f>IF(Сотрудники!A670&lt;&gt;"",Сотрудники!A670,"")</f>
        <v/>
      </c>
      <c r="B663" s="1" t="str">
        <f>IF(Сотрудники!B670 &lt;&gt; "",Сотрудники!B670,"")</f>
        <v/>
      </c>
    </row>
    <row r="664" spans="1:2" s="1" customFormat="1" x14ac:dyDescent="0.25">
      <c r="A664" s="2" t="str">
        <f>IF(Сотрудники!A671&lt;&gt;"",Сотрудники!A671,"")</f>
        <v/>
      </c>
      <c r="B664" s="1" t="str">
        <f>IF(Сотрудники!B671 &lt;&gt; "",Сотрудники!B671,"")</f>
        <v/>
      </c>
    </row>
    <row r="665" spans="1:2" s="1" customFormat="1" x14ac:dyDescent="0.25">
      <c r="A665" s="2" t="str">
        <f>IF(Сотрудники!A672&lt;&gt;"",Сотрудники!A672,"")</f>
        <v/>
      </c>
      <c r="B665" s="1" t="str">
        <f>IF(Сотрудники!B672 &lt;&gt; "",Сотрудники!B672,"")</f>
        <v/>
      </c>
    </row>
    <row r="666" spans="1:2" s="1" customFormat="1" x14ac:dyDescent="0.25">
      <c r="A666" s="2" t="str">
        <f>IF(Сотрудники!A673&lt;&gt;"",Сотрудники!A673,"")</f>
        <v/>
      </c>
      <c r="B666" s="1" t="str">
        <f>IF(Сотрудники!B673 &lt;&gt; "",Сотрудники!B673,"")</f>
        <v/>
      </c>
    </row>
    <row r="667" spans="1:2" s="1" customFormat="1" x14ac:dyDescent="0.25">
      <c r="A667" s="2" t="str">
        <f>IF(Сотрудники!A674&lt;&gt;"",Сотрудники!A674,"")</f>
        <v/>
      </c>
      <c r="B667" s="1" t="str">
        <f>IF(Сотрудники!B674 &lt;&gt; "",Сотрудники!B674,"")</f>
        <v/>
      </c>
    </row>
    <row r="668" spans="1:2" s="1" customFormat="1" x14ac:dyDescent="0.25">
      <c r="A668" s="2" t="str">
        <f>IF(Сотрудники!A675&lt;&gt;"",Сотрудники!A675,"")</f>
        <v/>
      </c>
      <c r="B668" s="1" t="str">
        <f>IF(Сотрудники!B675 &lt;&gt; "",Сотрудники!B675,"")</f>
        <v/>
      </c>
    </row>
    <row r="669" spans="1:2" s="1" customFormat="1" x14ac:dyDescent="0.25">
      <c r="A669" s="2" t="str">
        <f>IF(Сотрудники!A676&lt;&gt;"",Сотрудники!A676,"")</f>
        <v/>
      </c>
      <c r="B669" s="1" t="str">
        <f>IF(Сотрудники!B676 &lt;&gt; "",Сотрудники!B676,"")</f>
        <v/>
      </c>
    </row>
    <row r="670" spans="1:2" s="1" customFormat="1" x14ac:dyDescent="0.25">
      <c r="A670" s="2" t="str">
        <f>IF(Сотрудники!A677&lt;&gt;"",Сотрудники!A677,"")</f>
        <v/>
      </c>
      <c r="B670" s="1" t="str">
        <f>IF(Сотрудники!B677 &lt;&gt; "",Сотрудники!B677,"")</f>
        <v/>
      </c>
    </row>
    <row r="671" spans="1:2" s="1" customFormat="1" x14ac:dyDescent="0.25">
      <c r="A671" s="2" t="str">
        <f>IF(Сотрудники!A678&lt;&gt;"",Сотрудники!A678,"")</f>
        <v/>
      </c>
      <c r="B671" s="1" t="str">
        <f>IF(Сотрудники!B678 &lt;&gt; "",Сотрудники!B678,"")</f>
        <v/>
      </c>
    </row>
    <row r="672" spans="1:2" s="1" customFormat="1" x14ac:dyDescent="0.25">
      <c r="A672" s="2" t="str">
        <f>IF(Сотрудники!A679&lt;&gt;"",Сотрудники!A679,"")</f>
        <v/>
      </c>
      <c r="B672" s="1" t="str">
        <f>IF(Сотрудники!B679 &lt;&gt; "",Сотрудники!B679,"")</f>
        <v/>
      </c>
    </row>
    <row r="673" spans="1:2" s="1" customFormat="1" x14ac:dyDescent="0.25">
      <c r="A673" s="2" t="str">
        <f>IF(Сотрудники!A680&lt;&gt;"",Сотрудники!A680,"")</f>
        <v/>
      </c>
      <c r="B673" s="1" t="str">
        <f>IF(Сотрудники!B680 &lt;&gt; "",Сотрудники!B680,"")</f>
        <v/>
      </c>
    </row>
    <row r="674" spans="1:2" s="1" customFormat="1" x14ac:dyDescent="0.25">
      <c r="A674" s="2" t="str">
        <f>IF(Сотрудники!A681&lt;&gt;"",Сотрудники!A681,"")</f>
        <v/>
      </c>
      <c r="B674" s="1" t="str">
        <f>IF(Сотрудники!B681 &lt;&gt; "",Сотрудники!B681,"")</f>
        <v/>
      </c>
    </row>
    <row r="675" spans="1:2" s="1" customFormat="1" x14ac:dyDescent="0.25">
      <c r="A675" s="2" t="str">
        <f>IF(Сотрудники!A682&lt;&gt;"",Сотрудники!A682,"")</f>
        <v/>
      </c>
      <c r="B675" s="1" t="str">
        <f>IF(Сотрудники!B682 &lt;&gt; "",Сотрудники!B682,"")</f>
        <v/>
      </c>
    </row>
    <row r="676" spans="1:2" s="1" customFormat="1" x14ac:dyDescent="0.25">
      <c r="A676" s="2" t="str">
        <f>IF(Сотрудники!A683&lt;&gt;"",Сотрудники!A683,"")</f>
        <v/>
      </c>
      <c r="B676" s="1" t="str">
        <f>IF(Сотрудники!B683 &lt;&gt; "",Сотрудники!B683,"")</f>
        <v/>
      </c>
    </row>
    <row r="677" spans="1:2" s="1" customFormat="1" x14ac:dyDescent="0.25">
      <c r="A677" s="2" t="str">
        <f>IF(Сотрудники!A684&lt;&gt;"",Сотрудники!A684,"")</f>
        <v/>
      </c>
      <c r="B677" s="1" t="str">
        <f>IF(Сотрудники!B684 &lt;&gt; "",Сотрудники!B684,"")</f>
        <v/>
      </c>
    </row>
    <row r="678" spans="1:2" s="1" customFormat="1" x14ac:dyDescent="0.25">
      <c r="A678" s="2" t="str">
        <f>IF(Сотрудники!A685&lt;&gt;"",Сотрудники!A685,"")</f>
        <v/>
      </c>
      <c r="B678" s="1" t="str">
        <f>IF(Сотрудники!B685 &lt;&gt; "",Сотрудники!B685,"")</f>
        <v/>
      </c>
    </row>
    <row r="679" spans="1:2" s="1" customFormat="1" x14ac:dyDescent="0.25">
      <c r="A679" s="2" t="str">
        <f>IF(Сотрудники!A686&lt;&gt;"",Сотрудники!A686,"")</f>
        <v/>
      </c>
      <c r="B679" s="1" t="str">
        <f>IF(Сотрудники!B686 &lt;&gt; "",Сотрудники!B686,"")</f>
        <v/>
      </c>
    </row>
    <row r="680" spans="1:2" s="1" customFormat="1" x14ac:dyDescent="0.25">
      <c r="A680" s="2" t="str">
        <f>IF(Сотрудники!A687&lt;&gt;"",Сотрудники!A687,"")</f>
        <v/>
      </c>
      <c r="B680" s="1" t="str">
        <f>IF(Сотрудники!B687 &lt;&gt; "",Сотрудники!B687,"")</f>
        <v/>
      </c>
    </row>
    <row r="681" spans="1:2" s="1" customFormat="1" x14ac:dyDescent="0.25">
      <c r="A681" s="2" t="str">
        <f>IF(Сотрудники!A688&lt;&gt;"",Сотрудники!A688,"")</f>
        <v/>
      </c>
      <c r="B681" s="1" t="str">
        <f>IF(Сотрудники!B688 &lt;&gt; "",Сотрудники!B688,"")</f>
        <v/>
      </c>
    </row>
    <row r="682" spans="1:2" s="1" customFormat="1" x14ac:dyDescent="0.25">
      <c r="A682" s="2" t="str">
        <f>IF(Сотрудники!A689&lt;&gt;"",Сотрудники!A689,"")</f>
        <v/>
      </c>
      <c r="B682" s="1" t="str">
        <f>IF(Сотрудники!B689 &lt;&gt; "",Сотрудники!B689,"")</f>
        <v/>
      </c>
    </row>
    <row r="683" spans="1:2" s="1" customFormat="1" x14ac:dyDescent="0.25">
      <c r="A683" s="2" t="str">
        <f>IF(Сотрудники!A690&lt;&gt;"",Сотрудники!A690,"")</f>
        <v/>
      </c>
      <c r="B683" s="1" t="str">
        <f>IF(Сотрудники!B690 &lt;&gt; "",Сотрудники!B690,"")</f>
        <v/>
      </c>
    </row>
    <row r="684" spans="1:2" s="1" customFormat="1" x14ac:dyDescent="0.25">
      <c r="A684" s="2" t="str">
        <f>IF(Сотрудники!A691&lt;&gt;"",Сотрудники!A691,"")</f>
        <v/>
      </c>
      <c r="B684" s="1" t="str">
        <f>IF(Сотрудники!B691 &lt;&gt; "",Сотрудники!B691,"")</f>
        <v/>
      </c>
    </row>
    <row r="685" spans="1:2" s="1" customFormat="1" x14ac:dyDescent="0.25">
      <c r="A685" s="2" t="str">
        <f>IF(Сотрудники!A692&lt;&gt;"",Сотрудники!A692,"")</f>
        <v/>
      </c>
      <c r="B685" s="1" t="str">
        <f>IF(Сотрудники!B692 &lt;&gt; "",Сотрудники!B692,"")</f>
        <v/>
      </c>
    </row>
    <row r="686" spans="1:2" s="1" customFormat="1" x14ac:dyDescent="0.25">
      <c r="A686" s="2" t="str">
        <f>IF(Сотрудники!A693&lt;&gt;"",Сотрудники!A693,"")</f>
        <v/>
      </c>
      <c r="B686" s="1" t="str">
        <f>IF(Сотрудники!B693 &lt;&gt; "",Сотрудники!B693,"")</f>
        <v/>
      </c>
    </row>
    <row r="687" spans="1:2" s="1" customFormat="1" x14ac:dyDescent="0.25">
      <c r="A687" s="2" t="str">
        <f>IF(Сотрудники!A694&lt;&gt;"",Сотрудники!A694,"")</f>
        <v/>
      </c>
      <c r="B687" s="1" t="str">
        <f>IF(Сотрудники!B694 &lt;&gt; "",Сотрудники!B694,"")</f>
        <v/>
      </c>
    </row>
    <row r="688" spans="1:2" s="1" customFormat="1" x14ac:dyDescent="0.25">
      <c r="A688" s="2" t="str">
        <f>IF(Сотрудники!A695&lt;&gt;"",Сотрудники!A695,"")</f>
        <v/>
      </c>
      <c r="B688" s="1" t="str">
        <f>IF(Сотрудники!B695 &lt;&gt; "",Сотрудники!B695,"")</f>
        <v/>
      </c>
    </row>
    <row r="689" spans="1:2" s="1" customFormat="1" x14ac:dyDescent="0.25">
      <c r="A689" s="2" t="str">
        <f>IF(Сотрудники!A696&lt;&gt;"",Сотрудники!A696,"")</f>
        <v/>
      </c>
      <c r="B689" s="1" t="str">
        <f>IF(Сотрудники!B696 &lt;&gt; "",Сотрудники!B696,"")</f>
        <v/>
      </c>
    </row>
    <row r="690" spans="1:2" s="1" customFormat="1" x14ac:dyDescent="0.25">
      <c r="A690" s="2" t="str">
        <f>IF(Сотрудники!A697&lt;&gt;"",Сотрудники!A697,"")</f>
        <v/>
      </c>
      <c r="B690" s="1" t="str">
        <f>IF(Сотрудники!B697 &lt;&gt; "",Сотрудники!B697,"")</f>
        <v/>
      </c>
    </row>
    <row r="691" spans="1:2" s="1" customFormat="1" x14ac:dyDescent="0.25">
      <c r="A691" s="2" t="str">
        <f>IF(Сотрудники!A698&lt;&gt;"",Сотрудники!A698,"")</f>
        <v/>
      </c>
      <c r="B691" s="1" t="str">
        <f>IF(Сотрудники!B698 &lt;&gt; "",Сотрудники!B698,"")</f>
        <v/>
      </c>
    </row>
    <row r="692" spans="1:2" s="1" customFormat="1" x14ac:dyDescent="0.25">
      <c r="A692" s="2" t="str">
        <f>IF(Сотрудники!A699&lt;&gt;"",Сотрудники!A699,"")</f>
        <v/>
      </c>
      <c r="B692" s="1" t="str">
        <f>IF(Сотрудники!B699 &lt;&gt; "",Сотрудники!B699,"")</f>
        <v/>
      </c>
    </row>
    <row r="693" spans="1:2" s="1" customFormat="1" x14ac:dyDescent="0.25">
      <c r="A693" s="2" t="str">
        <f>IF(Сотрудники!A700&lt;&gt;"",Сотрудники!A700,"")</f>
        <v/>
      </c>
      <c r="B693" s="1" t="str">
        <f>IF(Сотрудники!B700 &lt;&gt; "",Сотрудники!B700,"")</f>
        <v/>
      </c>
    </row>
    <row r="694" spans="1:2" s="1" customFormat="1" x14ac:dyDescent="0.25">
      <c r="A694" s="2" t="str">
        <f>IF(Сотрудники!A701&lt;&gt;"",Сотрудники!A701,"")</f>
        <v/>
      </c>
      <c r="B694" s="1" t="str">
        <f>IF(Сотрудники!B701 &lt;&gt; "",Сотрудники!B701,"")</f>
        <v/>
      </c>
    </row>
    <row r="695" spans="1:2" s="1" customFormat="1" x14ac:dyDescent="0.25">
      <c r="A695" s="2" t="str">
        <f>IF(Сотрудники!A702&lt;&gt;"",Сотрудники!A702,"")</f>
        <v/>
      </c>
      <c r="B695" s="1" t="str">
        <f>IF(Сотрудники!B702 &lt;&gt; "",Сотрудники!B702,"")</f>
        <v/>
      </c>
    </row>
    <row r="696" spans="1:2" s="1" customFormat="1" x14ac:dyDescent="0.25">
      <c r="A696" s="2" t="str">
        <f>IF(Сотрудники!A703&lt;&gt;"",Сотрудники!A703,"")</f>
        <v/>
      </c>
      <c r="B696" s="1" t="str">
        <f>IF(Сотрудники!B703 &lt;&gt; "",Сотрудники!B703,"")</f>
        <v/>
      </c>
    </row>
    <row r="697" spans="1:2" s="1" customFormat="1" x14ac:dyDescent="0.25">
      <c r="A697" s="2" t="str">
        <f>IF(Сотрудники!A704&lt;&gt;"",Сотрудники!A704,"")</f>
        <v/>
      </c>
      <c r="B697" s="1" t="str">
        <f>IF(Сотрудники!B704 &lt;&gt; "",Сотрудники!B704,"")</f>
        <v/>
      </c>
    </row>
    <row r="698" spans="1:2" s="1" customFormat="1" x14ac:dyDescent="0.25">
      <c r="A698" s="2" t="str">
        <f>IF(Сотрудники!A705&lt;&gt;"",Сотрудники!A705,"")</f>
        <v/>
      </c>
      <c r="B698" s="1" t="str">
        <f>IF(Сотрудники!B705 &lt;&gt; "",Сотрудники!B705,"")</f>
        <v/>
      </c>
    </row>
    <row r="699" spans="1:2" s="1" customFormat="1" x14ac:dyDescent="0.25">
      <c r="A699" s="2" t="str">
        <f>IF(Сотрудники!A706&lt;&gt;"",Сотрудники!A706,"")</f>
        <v/>
      </c>
      <c r="B699" s="1" t="str">
        <f>IF(Сотрудники!B706 &lt;&gt; "",Сотрудники!B706,"")</f>
        <v/>
      </c>
    </row>
    <row r="700" spans="1:2" s="1" customFormat="1" x14ac:dyDescent="0.25">
      <c r="A700" s="2" t="str">
        <f>IF(Сотрудники!A707&lt;&gt;"",Сотрудники!A707,"")</f>
        <v/>
      </c>
      <c r="B700" s="1" t="str">
        <f>IF(Сотрудники!B707 &lt;&gt; "",Сотрудники!B707,"")</f>
        <v/>
      </c>
    </row>
    <row r="701" spans="1:2" s="1" customFormat="1" x14ac:dyDescent="0.25">
      <c r="A701" s="2" t="str">
        <f>IF(Сотрудники!A708&lt;&gt;"",Сотрудники!A708,"")</f>
        <v/>
      </c>
      <c r="B701" s="1" t="str">
        <f>IF(Сотрудники!B708 &lt;&gt; "",Сотрудники!B708,"")</f>
        <v/>
      </c>
    </row>
    <row r="702" spans="1:2" s="1" customFormat="1" x14ac:dyDescent="0.25">
      <c r="A702" s="2" t="str">
        <f>IF(Сотрудники!A709&lt;&gt;"",Сотрудники!A709,"")</f>
        <v/>
      </c>
      <c r="B702" s="1" t="str">
        <f>IF(Сотрудники!B709 &lt;&gt; "",Сотрудники!B709,"")</f>
        <v/>
      </c>
    </row>
    <row r="703" spans="1:2" s="1" customFormat="1" x14ac:dyDescent="0.25">
      <c r="A703" s="2" t="str">
        <f>IF(Сотрудники!A710&lt;&gt;"",Сотрудники!A710,"")</f>
        <v/>
      </c>
      <c r="B703" s="1" t="str">
        <f>IF(Сотрудники!B710 &lt;&gt; "",Сотрудники!B710,"")</f>
        <v/>
      </c>
    </row>
    <row r="704" spans="1:2" s="1" customFormat="1" x14ac:dyDescent="0.25">
      <c r="A704" s="2" t="str">
        <f>IF(Сотрудники!A711&lt;&gt;"",Сотрудники!A711,"")</f>
        <v/>
      </c>
      <c r="B704" s="1" t="str">
        <f>IF(Сотрудники!B711 &lt;&gt; "",Сотрудники!B711,"")</f>
        <v/>
      </c>
    </row>
    <row r="705" spans="1:2" s="1" customFormat="1" x14ac:dyDescent="0.25">
      <c r="A705" s="2" t="str">
        <f>IF(Сотрудники!A712&lt;&gt;"",Сотрудники!A712,"")</f>
        <v/>
      </c>
      <c r="B705" s="1" t="str">
        <f>IF(Сотрудники!B712 &lt;&gt; "",Сотрудники!B712,"")</f>
        <v/>
      </c>
    </row>
    <row r="706" spans="1:2" s="1" customFormat="1" x14ac:dyDescent="0.25">
      <c r="A706" s="2" t="str">
        <f>IF(Сотрудники!A713&lt;&gt;"",Сотрудники!A713,"")</f>
        <v/>
      </c>
      <c r="B706" s="1" t="str">
        <f>IF(Сотрудники!B713 &lt;&gt; "",Сотрудники!B713,"")</f>
        <v/>
      </c>
    </row>
    <row r="707" spans="1:2" s="1" customFormat="1" x14ac:dyDescent="0.25">
      <c r="A707" s="2" t="str">
        <f>IF(Сотрудники!A714&lt;&gt;"",Сотрудники!A714,"")</f>
        <v/>
      </c>
      <c r="B707" s="1" t="str">
        <f>IF(Сотрудники!B714 &lt;&gt; "",Сотрудники!B714,"")</f>
        <v/>
      </c>
    </row>
    <row r="708" spans="1:2" s="1" customFormat="1" x14ac:dyDescent="0.25">
      <c r="A708" s="2" t="str">
        <f>IF(Сотрудники!A715&lt;&gt;"",Сотрудники!A715,"")</f>
        <v/>
      </c>
      <c r="B708" s="1" t="str">
        <f>IF(Сотрудники!B715 &lt;&gt; "",Сотрудники!B715,"")</f>
        <v/>
      </c>
    </row>
    <row r="709" spans="1:2" s="1" customFormat="1" x14ac:dyDescent="0.25">
      <c r="A709" s="2" t="str">
        <f>IF(Сотрудники!A716&lt;&gt;"",Сотрудники!A716,"")</f>
        <v/>
      </c>
      <c r="B709" s="1" t="str">
        <f>IF(Сотрудники!B716 &lt;&gt; "",Сотрудники!B716,"")</f>
        <v/>
      </c>
    </row>
    <row r="710" spans="1:2" s="1" customFormat="1" x14ac:dyDescent="0.25">
      <c r="A710" s="2" t="str">
        <f>IF(Сотрудники!A717&lt;&gt;"",Сотрудники!A717,"")</f>
        <v/>
      </c>
      <c r="B710" s="1" t="str">
        <f>IF(Сотрудники!B717 &lt;&gt; "",Сотрудники!B717,"")</f>
        <v/>
      </c>
    </row>
    <row r="711" spans="1:2" s="1" customFormat="1" x14ac:dyDescent="0.25">
      <c r="A711" s="2" t="str">
        <f>IF(Сотрудники!A718&lt;&gt;"",Сотрудники!A718,"")</f>
        <v/>
      </c>
      <c r="B711" s="1" t="str">
        <f>IF(Сотрудники!B718 &lt;&gt; "",Сотрудники!B718,"")</f>
        <v/>
      </c>
    </row>
    <row r="712" spans="1:2" s="1" customFormat="1" x14ac:dyDescent="0.25">
      <c r="A712" s="2" t="str">
        <f>IF(Сотрудники!A719&lt;&gt;"",Сотрудники!A719,"")</f>
        <v/>
      </c>
      <c r="B712" s="1" t="str">
        <f>IF(Сотрудники!B719 &lt;&gt; "",Сотрудники!B719,"")</f>
        <v/>
      </c>
    </row>
    <row r="713" spans="1:2" s="1" customFormat="1" x14ac:dyDescent="0.25">
      <c r="A713" s="2" t="str">
        <f>IF(Сотрудники!A720&lt;&gt;"",Сотрудники!A720,"")</f>
        <v/>
      </c>
      <c r="B713" s="1" t="str">
        <f>IF(Сотрудники!B720 &lt;&gt; "",Сотрудники!B720,"")</f>
        <v/>
      </c>
    </row>
    <row r="714" spans="1:2" s="1" customFormat="1" x14ac:dyDescent="0.25">
      <c r="A714" s="2" t="str">
        <f>IF(Сотрудники!A721&lt;&gt;"",Сотрудники!A721,"")</f>
        <v/>
      </c>
      <c r="B714" s="1" t="str">
        <f>IF(Сотрудники!B721 &lt;&gt; "",Сотрудники!B721,"")</f>
        <v/>
      </c>
    </row>
    <row r="715" spans="1:2" s="1" customFormat="1" x14ac:dyDescent="0.25">
      <c r="A715" s="2" t="str">
        <f>IF(Сотрудники!A722&lt;&gt;"",Сотрудники!A722,"")</f>
        <v/>
      </c>
      <c r="B715" s="1" t="str">
        <f>IF(Сотрудники!B722 &lt;&gt; "",Сотрудники!B722,"")</f>
        <v/>
      </c>
    </row>
    <row r="716" spans="1:2" s="1" customFormat="1" x14ac:dyDescent="0.25">
      <c r="A716" s="2" t="str">
        <f>IF(Сотрудники!A723&lt;&gt;"",Сотрудники!A723,"")</f>
        <v/>
      </c>
      <c r="B716" s="1" t="str">
        <f>IF(Сотрудники!B723 &lt;&gt; "",Сотрудники!B723,"")</f>
        <v/>
      </c>
    </row>
    <row r="717" spans="1:2" s="1" customFormat="1" x14ac:dyDescent="0.25">
      <c r="A717" s="2" t="str">
        <f>IF(Сотрудники!A724&lt;&gt;"",Сотрудники!A724,"")</f>
        <v/>
      </c>
      <c r="B717" s="1" t="str">
        <f>IF(Сотрудники!B724 &lt;&gt; "",Сотрудники!B724,"")</f>
        <v/>
      </c>
    </row>
    <row r="718" spans="1:2" s="1" customFormat="1" x14ac:dyDescent="0.25">
      <c r="A718" s="2" t="str">
        <f>IF(Сотрудники!A725&lt;&gt;"",Сотрудники!A725,"")</f>
        <v/>
      </c>
      <c r="B718" s="1" t="str">
        <f>IF(Сотрудники!B725 &lt;&gt; "",Сотрудники!B725,"")</f>
        <v/>
      </c>
    </row>
    <row r="719" spans="1:2" s="1" customFormat="1" x14ac:dyDescent="0.25">
      <c r="A719" s="2" t="str">
        <f>IF(Сотрудники!A726&lt;&gt;"",Сотрудники!A726,"")</f>
        <v/>
      </c>
      <c r="B719" s="1" t="str">
        <f>IF(Сотрудники!B726 &lt;&gt; "",Сотрудники!B726,"")</f>
        <v/>
      </c>
    </row>
    <row r="720" spans="1:2" s="1" customFormat="1" x14ac:dyDescent="0.25">
      <c r="A720" s="2" t="str">
        <f>IF(Сотрудники!A727&lt;&gt;"",Сотрудники!A727,"")</f>
        <v/>
      </c>
      <c r="B720" s="1" t="str">
        <f>IF(Сотрудники!B727 &lt;&gt; "",Сотрудники!B727,"")</f>
        <v/>
      </c>
    </row>
    <row r="721" spans="1:2" s="1" customFormat="1" x14ac:dyDescent="0.25">
      <c r="A721" s="2" t="str">
        <f>IF(Сотрудники!A728&lt;&gt;"",Сотрудники!A728,"")</f>
        <v/>
      </c>
      <c r="B721" s="1" t="str">
        <f>IF(Сотрудники!B728 &lt;&gt; "",Сотрудники!B728,"")</f>
        <v/>
      </c>
    </row>
    <row r="722" spans="1:2" s="1" customFormat="1" x14ac:dyDescent="0.25">
      <c r="A722" s="2" t="str">
        <f>IF(Сотрудники!A729&lt;&gt;"",Сотрудники!A729,"")</f>
        <v/>
      </c>
      <c r="B722" s="1" t="str">
        <f>IF(Сотрудники!B729 &lt;&gt; "",Сотрудники!B729,"")</f>
        <v/>
      </c>
    </row>
    <row r="723" spans="1:2" s="1" customFormat="1" x14ac:dyDescent="0.25">
      <c r="A723" s="2" t="str">
        <f>IF(Сотрудники!A730&lt;&gt;"",Сотрудники!A730,"")</f>
        <v/>
      </c>
      <c r="B723" s="1" t="str">
        <f>IF(Сотрудники!B730 &lt;&gt; "",Сотрудники!B730,"")</f>
        <v/>
      </c>
    </row>
    <row r="724" spans="1:2" s="1" customFormat="1" x14ac:dyDescent="0.25">
      <c r="A724" s="2" t="str">
        <f>IF(Сотрудники!A731&lt;&gt;"",Сотрудники!A731,"")</f>
        <v/>
      </c>
      <c r="B724" s="1" t="str">
        <f>IF(Сотрудники!B731 &lt;&gt; "",Сотрудники!B731,"")</f>
        <v/>
      </c>
    </row>
    <row r="725" spans="1:2" s="1" customFormat="1" x14ac:dyDescent="0.25">
      <c r="A725" s="2" t="str">
        <f>IF(Сотрудники!A732&lt;&gt;"",Сотрудники!A732,"")</f>
        <v/>
      </c>
      <c r="B725" s="1" t="str">
        <f>IF(Сотрудники!B732 &lt;&gt; "",Сотрудники!B732,"")</f>
        <v/>
      </c>
    </row>
    <row r="726" spans="1:2" s="1" customFormat="1" x14ac:dyDescent="0.25">
      <c r="A726" s="2" t="str">
        <f>IF(Сотрудники!A733&lt;&gt;"",Сотрудники!A733,"")</f>
        <v/>
      </c>
      <c r="B726" s="1" t="str">
        <f>IF(Сотрудники!B733 &lt;&gt; "",Сотрудники!B733,"")</f>
        <v/>
      </c>
    </row>
    <row r="727" spans="1:2" s="1" customFormat="1" x14ac:dyDescent="0.25">
      <c r="A727" s="2" t="str">
        <f>IF(Сотрудники!A734&lt;&gt;"",Сотрудники!A734,"")</f>
        <v/>
      </c>
      <c r="B727" s="1" t="str">
        <f>IF(Сотрудники!B734 &lt;&gt; "",Сотрудники!B734,"")</f>
        <v/>
      </c>
    </row>
    <row r="728" spans="1:2" s="1" customFormat="1" x14ac:dyDescent="0.25">
      <c r="A728" s="2" t="str">
        <f>IF(Сотрудники!A735&lt;&gt;"",Сотрудники!A735,"")</f>
        <v/>
      </c>
      <c r="B728" s="1" t="str">
        <f>IF(Сотрудники!B735 &lt;&gt; "",Сотрудники!B735,"")</f>
        <v/>
      </c>
    </row>
    <row r="729" spans="1:2" s="1" customFormat="1" x14ac:dyDescent="0.25">
      <c r="A729" s="2" t="str">
        <f>IF(Сотрудники!A736&lt;&gt;"",Сотрудники!A736,"")</f>
        <v/>
      </c>
      <c r="B729" s="1" t="str">
        <f>IF(Сотрудники!B736 &lt;&gt; "",Сотрудники!B736,"")</f>
        <v/>
      </c>
    </row>
    <row r="730" spans="1:2" s="1" customFormat="1" x14ac:dyDescent="0.25">
      <c r="A730" s="2" t="str">
        <f>IF(Сотрудники!A737&lt;&gt;"",Сотрудники!A737,"")</f>
        <v/>
      </c>
      <c r="B730" s="1" t="str">
        <f>IF(Сотрудники!B737 &lt;&gt; "",Сотрудники!B737,"")</f>
        <v/>
      </c>
    </row>
    <row r="731" spans="1:2" s="1" customFormat="1" x14ac:dyDescent="0.25">
      <c r="A731" s="2" t="str">
        <f>IF(Сотрудники!A738&lt;&gt;"",Сотрудники!A738,"")</f>
        <v/>
      </c>
      <c r="B731" s="1" t="str">
        <f>IF(Сотрудники!B738 &lt;&gt; "",Сотрудники!B738,"")</f>
        <v/>
      </c>
    </row>
    <row r="732" spans="1:2" s="1" customFormat="1" x14ac:dyDescent="0.25">
      <c r="A732" s="2" t="str">
        <f>IF(Сотрудники!A739&lt;&gt;"",Сотрудники!A739,"")</f>
        <v/>
      </c>
      <c r="B732" s="1" t="str">
        <f>IF(Сотрудники!B739 &lt;&gt; "",Сотрудники!B739,"")</f>
        <v/>
      </c>
    </row>
    <row r="733" spans="1:2" s="1" customFormat="1" x14ac:dyDescent="0.25">
      <c r="A733" s="2" t="str">
        <f>IF(Сотрудники!A740&lt;&gt;"",Сотрудники!A740,"")</f>
        <v/>
      </c>
      <c r="B733" s="1" t="str">
        <f>IF(Сотрудники!B740 &lt;&gt; "",Сотрудники!B740,"")</f>
        <v/>
      </c>
    </row>
    <row r="734" spans="1:2" s="1" customFormat="1" x14ac:dyDescent="0.25">
      <c r="A734" s="2" t="str">
        <f>IF(Сотрудники!A741&lt;&gt;"",Сотрудники!A741,"")</f>
        <v/>
      </c>
      <c r="B734" s="1" t="str">
        <f>IF(Сотрудники!B741 &lt;&gt; "",Сотрудники!B741,"")</f>
        <v/>
      </c>
    </row>
    <row r="735" spans="1:2" s="1" customFormat="1" x14ac:dyDescent="0.25">
      <c r="A735" s="2" t="str">
        <f>IF(Сотрудники!A742&lt;&gt;"",Сотрудники!A742,"")</f>
        <v/>
      </c>
      <c r="B735" s="1" t="str">
        <f>IF(Сотрудники!B742 &lt;&gt; "",Сотрудники!B742,"")</f>
        <v/>
      </c>
    </row>
    <row r="736" spans="1:2" s="1" customFormat="1" x14ac:dyDescent="0.25">
      <c r="A736" s="2" t="str">
        <f>IF(Сотрудники!A743&lt;&gt;"",Сотрудники!A743,"")</f>
        <v/>
      </c>
      <c r="B736" s="1" t="str">
        <f>IF(Сотрудники!B743 &lt;&gt; "",Сотрудники!B743,"")</f>
        <v/>
      </c>
    </row>
    <row r="737" spans="1:2" s="1" customFormat="1" x14ac:dyDescent="0.25">
      <c r="A737" s="2" t="str">
        <f>IF(Сотрудники!A744&lt;&gt;"",Сотрудники!A744,"")</f>
        <v/>
      </c>
      <c r="B737" s="1" t="str">
        <f>IF(Сотрудники!B744 &lt;&gt; "",Сотрудники!B744,"")</f>
        <v/>
      </c>
    </row>
    <row r="738" spans="1:2" s="1" customFormat="1" x14ac:dyDescent="0.25">
      <c r="A738" s="2" t="str">
        <f>IF(Сотрудники!A745&lt;&gt;"",Сотрудники!A745,"")</f>
        <v/>
      </c>
      <c r="B738" s="1" t="str">
        <f>IF(Сотрудники!B745 &lt;&gt; "",Сотрудники!B745,"")</f>
        <v/>
      </c>
    </row>
    <row r="739" spans="1:2" s="1" customFormat="1" x14ac:dyDescent="0.25">
      <c r="A739" s="2" t="str">
        <f>IF(Сотрудники!A746&lt;&gt;"",Сотрудники!A746,"")</f>
        <v/>
      </c>
      <c r="B739" s="1" t="str">
        <f>IF(Сотрудники!B746 &lt;&gt; "",Сотрудники!B746,"")</f>
        <v/>
      </c>
    </row>
    <row r="740" spans="1:2" s="1" customFormat="1" x14ac:dyDescent="0.25">
      <c r="A740" s="2" t="str">
        <f>IF(Сотрудники!A747&lt;&gt;"",Сотрудники!A747,"")</f>
        <v/>
      </c>
      <c r="B740" s="1" t="str">
        <f>IF(Сотрудники!B747 &lt;&gt; "",Сотрудники!B747,"")</f>
        <v/>
      </c>
    </row>
    <row r="741" spans="1:2" s="1" customFormat="1" x14ac:dyDescent="0.25">
      <c r="A741" s="2" t="str">
        <f>IF(Сотрудники!A748&lt;&gt;"",Сотрудники!A748,"")</f>
        <v/>
      </c>
      <c r="B741" s="1" t="str">
        <f>IF(Сотрудники!B748 &lt;&gt; "",Сотрудники!B748,"")</f>
        <v/>
      </c>
    </row>
    <row r="742" spans="1:2" s="1" customFormat="1" x14ac:dyDescent="0.25">
      <c r="A742" s="2" t="str">
        <f>IF(Сотрудники!A749&lt;&gt;"",Сотрудники!A749,"")</f>
        <v/>
      </c>
      <c r="B742" s="1" t="str">
        <f>IF(Сотрудники!B749 &lt;&gt; "",Сотрудники!B749,"")</f>
        <v/>
      </c>
    </row>
    <row r="743" spans="1:2" s="1" customFormat="1" x14ac:dyDescent="0.25">
      <c r="A743" s="2" t="str">
        <f>IF(Сотрудники!A750&lt;&gt;"",Сотрудники!A750,"")</f>
        <v/>
      </c>
      <c r="B743" s="1" t="str">
        <f>IF(Сотрудники!B750 &lt;&gt; "",Сотрудники!B750,"")</f>
        <v/>
      </c>
    </row>
    <row r="744" spans="1:2" s="1" customFormat="1" x14ac:dyDescent="0.25">
      <c r="A744" s="2" t="str">
        <f>IF(Сотрудники!A751&lt;&gt;"",Сотрудники!A751,"")</f>
        <v/>
      </c>
      <c r="B744" s="1" t="str">
        <f>IF(Сотрудники!B751 &lt;&gt; "",Сотрудники!B751,"")</f>
        <v/>
      </c>
    </row>
    <row r="745" spans="1:2" s="1" customFormat="1" x14ac:dyDescent="0.25">
      <c r="A745" s="2" t="str">
        <f>IF(Сотрудники!A752&lt;&gt;"",Сотрудники!A752,"")</f>
        <v/>
      </c>
      <c r="B745" s="1" t="str">
        <f>IF(Сотрудники!B752 &lt;&gt; "",Сотрудники!B752,"")</f>
        <v/>
      </c>
    </row>
    <row r="746" spans="1:2" s="1" customFormat="1" x14ac:dyDescent="0.25">
      <c r="A746" s="2" t="str">
        <f>IF(Сотрудники!A753&lt;&gt;"",Сотрудники!A753,"")</f>
        <v/>
      </c>
      <c r="B746" s="1" t="str">
        <f>IF(Сотрудники!B753 &lt;&gt; "",Сотрудники!B753,"")</f>
        <v/>
      </c>
    </row>
    <row r="747" spans="1:2" s="1" customFormat="1" x14ac:dyDescent="0.25">
      <c r="A747" s="2" t="str">
        <f>IF(Сотрудники!A754&lt;&gt;"",Сотрудники!A754,"")</f>
        <v/>
      </c>
      <c r="B747" s="1" t="str">
        <f>IF(Сотрудники!B754 &lt;&gt; "",Сотрудники!B754,"")</f>
        <v/>
      </c>
    </row>
    <row r="748" spans="1:2" s="1" customFormat="1" x14ac:dyDescent="0.25">
      <c r="A748" s="2" t="str">
        <f>IF(Сотрудники!A755&lt;&gt;"",Сотрудники!A755,"")</f>
        <v/>
      </c>
      <c r="B748" s="1" t="str">
        <f>IF(Сотрудники!B755 &lt;&gt; "",Сотрудники!B755,"")</f>
        <v/>
      </c>
    </row>
    <row r="749" spans="1:2" s="1" customFormat="1" x14ac:dyDescent="0.25">
      <c r="A749" s="2" t="str">
        <f>IF(Сотрудники!A756&lt;&gt;"",Сотрудники!A756,"")</f>
        <v/>
      </c>
      <c r="B749" s="1" t="str">
        <f>IF(Сотрудники!B756 &lt;&gt; "",Сотрудники!B756,"")</f>
        <v/>
      </c>
    </row>
    <row r="750" spans="1:2" s="1" customFormat="1" x14ac:dyDescent="0.25">
      <c r="A750" s="2" t="str">
        <f>IF(Сотрудники!A757&lt;&gt;"",Сотрудники!A757,"")</f>
        <v/>
      </c>
      <c r="B750" s="1" t="str">
        <f>IF(Сотрудники!B757 &lt;&gt; "",Сотрудники!B757,"")</f>
        <v/>
      </c>
    </row>
    <row r="751" spans="1:2" s="1" customFormat="1" x14ac:dyDescent="0.25">
      <c r="A751" s="2" t="str">
        <f>IF(Сотрудники!A758&lt;&gt;"",Сотрудники!A758,"")</f>
        <v/>
      </c>
      <c r="B751" s="1" t="str">
        <f>IF(Сотрудники!B758 &lt;&gt; "",Сотрудники!B758,"")</f>
        <v/>
      </c>
    </row>
    <row r="752" spans="1:2" s="1" customFormat="1" x14ac:dyDescent="0.25">
      <c r="A752" s="2" t="str">
        <f>IF(Сотрудники!A759&lt;&gt;"",Сотрудники!A759,"")</f>
        <v/>
      </c>
      <c r="B752" s="1" t="str">
        <f>IF(Сотрудники!B759 &lt;&gt; "",Сотрудники!B759,"")</f>
        <v/>
      </c>
    </row>
    <row r="753" spans="1:2" s="1" customFormat="1" x14ac:dyDescent="0.25">
      <c r="A753" s="2" t="str">
        <f>IF(Сотрудники!A760&lt;&gt;"",Сотрудники!A760,"")</f>
        <v/>
      </c>
      <c r="B753" s="1" t="str">
        <f>IF(Сотрудники!B760 &lt;&gt; "",Сотрудники!B760,"")</f>
        <v/>
      </c>
    </row>
    <row r="754" spans="1:2" s="1" customFormat="1" x14ac:dyDescent="0.25">
      <c r="A754" s="2" t="str">
        <f>IF(Сотрудники!A761&lt;&gt;"",Сотрудники!A761,"")</f>
        <v/>
      </c>
      <c r="B754" s="1" t="str">
        <f>IF(Сотрудники!B761 &lt;&gt; "",Сотрудники!B761,"")</f>
        <v/>
      </c>
    </row>
    <row r="755" spans="1:2" s="1" customFormat="1" x14ac:dyDescent="0.25">
      <c r="A755" s="2" t="str">
        <f>IF(Сотрудники!A762&lt;&gt;"",Сотрудники!A762,"")</f>
        <v/>
      </c>
      <c r="B755" s="1" t="str">
        <f>IF(Сотрудники!B762 &lt;&gt; "",Сотрудники!B762,"")</f>
        <v/>
      </c>
    </row>
    <row r="756" spans="1:2" s="1" customFormat="1" x14ac:dyDescent="0.25">
      <c r="A756" s="2" t="str">
        <f>IF(Сотрудники!A763&lt;&gt;"",Сотрудники!A763,"")</f>
        <v/>
      </c>
      <c r="B756" s="1" t="str">
        <f>IF(Сотрудники!B763 &lt;&gt; "",Сотрудники!B763,"")</f>
        <v/>
      </c>
    </row>
    <row r="757" spans="1:2" s="1" customFormat="1" x14ac:dyDescent="0.25">
      <c r="A757" s="2" t="str">
        <f>IF(Сотрудники!A764&lt;&gt;"",Сотрудники!A764,"")</f>
        <v/>
      </c>
      <c r="B757" s="1" t="str">
        <f>IF(Сотрудники!B764 &lt;&gt; "",Сотрудники!B764,"")</f>
        <v/>
      </c>
    </row>
    <row r="758" spans="1:2" s="1" customFormat="1" x14ac:dyDescent="0.25">
      <c r="A758" s="2" t="str">
        <f>IF(Сотрудники!A765&lt;&gt;"",Сотрудники!A765,"")</f>
        <v/>
      </c>
      <c r="B758" s="1" t="str">
        <f>IF(Сотрудники!B765 &lt;&gt; "",Сотрудники!B765,"")</f>
        <v/>
      </c>
    </row>
    <row r="759" spans="1:2" s="1" customFormat="1" x14ac:dyDescent="0.25">
      <c r="A759" s="2" t="str">
        <f>IF(Сотрудники!A766&lt;&gt;"",Сотрудники!A766,"")</f>
        <v/>
      </c>
      <c r="B759" s="1" t="str">
        <f>IF(Сотрудники!B766 &lt;&gt; "",Сотрудники!B766,"")</f>
        <v/>
      </c>
    </row>
    <row r="760" spans="1:2" s="1" customFormat="1" x14ac:dyDescent="0.25">
      <c r="A760" s="2" t="str">
        <f>IF(Сотрудники!A767&lt;&gt;"",Сотрудники!A767,"")</f>
        <v/>
      </c>
      <c r="B760" s="1" t="str">
        <f>IF(Сотрудники!B767 &lt;&gt; "",Сотрудники!B767,"")</f>
        <v/>
      </c>
    </row>
    <row r="761" spans="1:2" s="1" customFormat="1" x14ac:dyDescent="0.25">
      <c r="A761" s="2" t="str">
        <f>IF(Сотрудники!A768&lt;&gt;"",Сотрудники!A768,"")</f>
        <v/>
      </c>
      <c r="B761" s="1" t="str">
        <f>IF(Сотрудники!B768 &lt;&gt; "",Сотрудники!B768,"")</f>
        <v/>
      </c>
    </row>
    <row r="762" spans="1:2" s="1" customFormat="1" x14ac:dyDescent="0.25">
      <c r="A762" s="2" t="str">
        <f>IF(Сотрудники!A769&lt;&gt;"",Сотрудники!A769,"")</f>
        <v/>
      </c>
      <c r="B762" s="1" t="str">
        <f>IF(Сотрудники!B769 &lt;&gt; "",Сотрудники!B769,"")</f>
        <v/>
      </c>
    </row>
    <row r="763" spans="1:2" s="1" customFormat="1" x14ac:dyDescent="0.25">
      <c r="A763" s="2" t="str">
        <f>IF(Сотрудники!A770&lt;&gt;"",Сотрудники!A770,"")</f>
        <v/>
      </c>
      <c r="B763" s="1" t="str">
        <f>IF(Сотрудники!B770 &lt;&gt; "",Сотрудники!B770,"")</f>
        <v/>
      </c>
    </row>
    <row r="764" spans="1:2" s="1" customFormat="1" x14ac:dyDescent="0.25">
      <c r="A764" s="2" t="str">
        <f>IF(Сотрудники!A771&lt;&gt;"",Сотрудники!A771,"")</f>
        <v/>
      </c>
      <c r="B764" s="1" t="str">
        <f>IF(Сотрудники!B771 &lt;&gt; "",Сотрудники!B771,"")</f>
        <v/>
      </c>
    </row>
    <row r="765" spans="1:2" s="1" customFormat="1" x14ac:dyDescent="0.25">
      <c r="A765" s="2" t="str">
        <f>IF(Сотрудники!A772&lt;&gt;"",Сотрудники!A772,"")</f>
        <v/>
      </c>
      <c r="B765" s="1" t="str">
        <f>IF(Сотрудники!B772 &lt;&gt; "",Сотрудники!B772,"")</f>
        <v/>
      </c>
    </row>
    <row r="766" spans="1:2" s="1" customFormat="1" x14ac:dyDescent="0.25">
      <c r="A766" s="2" t="str">
        <f>IF(Сотрудники!A773&lt;&gt;"",Сотрудники!A773,"")</f>
        <v/>
      </c>
      <c r="B766" s="1" t="str">
        <f>IF(Сотрудники!B773 &lt;&gt; "",Сотрудники!B773,"")</f>
        <v/>
      </c>
    </row>
    <row r="767" spans="1:2" s="1" customFormat="1" x14ac:dyDescent="0.25">
      <c r="A767" s="2" t="str">
        <f>IF(Сотрудники!A774&lt;&gt;"",Сотрудники!A774,"")</f>
        <v/>
      </c>
      <c r="B767" s="1" t="str">
        <f>IF(Сотрудники!B774 &lt;&gt; "",Сотрудники!B774,"")</f>
        <v/>
      </c>
    </row>
    <row r="768" spans="1:2" s="1" customFormat="1" x14ac:dyDescent="0.25">
      <c r="A768" s="2" t="str">
        <f>IF(Сотрудники!A775&lt;&gt;"",Сотрудники!A775,"")</f>
        <v/>
      </c>
      <c r="B768" s="1" t="str">
        <f>IF(Сотрудники!B775 &lt;&gt; "",Сотрудники!B775,"")</f>
        <v/>
      </c>
    </row>
    <row r="769" spans="1:2" s="1" customFormat="1" x14ac:dyDescent="0.25">
      <c r="A769" s="2" t="str">
        <f>IF(Сотрудники!A776&lt;&gt;"",Сотрудники!A776,"")</f>
        <v/>
      </c>
      <c r="B769" s="1" t="str">
        <f>IF(Сотрудники!B776 &lt;&gt; "",Сотрудники!B776,"")</f>
        <v/>
      </c>
    </row>
    <row r="770" spans="1:2" s="1" customFormat="1" x14ac:dyDescent="0.25">
      <c r="A770" s="2" t="str">
        <f>IF(Сотрудники!A777&lt;&gt;"",Сотрудники!A777,"")</f>
        <v/>
      </c>
      <c r="B770" s="1" t="str">
        <f>IF(Сотрудники!B777 &lt;&gt; "",Сотрудники!B777,"")</f>
        <v/>
      </c>
    </row>
    <row r="771" spans="1:2" s="1" customFormat="1" x14ac:dyDescent="0.25">
      <c r="A771" s="2" t="str">
        <f>IF(Сотрудники!A778&lt;&gt;"",Сотрудники!A778,"")</f>
        <v/>
      </c>
      <c r="B771" s="1" t="str">
        <f>IF(Сотрудники!B778 &lt;&gt; "",Сотрудники!B778,"")</f>
        <v/>
      </c>
    </row>
    <row r="772" spans="1:2" s="1" customFormat="1" x14ac:dyDescent="0.25">
      <c r="A772" s="2" t="str">
        <f>IF(Сотрудники!A779&lt;&gt;"",Сотрудники!A779,"")</f>
        <v/>
      </c>
      <c r="B772" s="1" t="str">
        <f>IF(Сотрудники!B779 &lt;&gt; "",Сотрудники!B779,"")</f>
        <v/>
      </c>
    </row>
    <row r="773" spans="1:2" s="1" customFormat="1" x14ac:dyDescent="0.25">
      <c r="A773" s="2" t="str">
        <f>IF(Сотрудники!A780&lt;&gt;"",Сотрудники!A780,"")</f>
        <v/>
      </c>
      <c r="B773" s="1" t="str">
        <f>IF(Сотрудники!B780 &lt;&gt; "",Сотрудники!B780,"")</f>
        <v/>
      </c>
    </row>
    <row r="774" spans="1:2" s="1" customFormat="1" x14ac:dyDescent="0.25">
      <c r="A774" s="2" t="str">
        <f>IF(Сотрудники!A781&lt;&gt;"",Сотрудники!A781,"")</f>
        <v/>
      </c>
      <c r="B774" s="1" t="str">
        <f>IF(Сотрудники!B781 &lt;&gt; "",Сотрудники!B781,"")</f>
        <v/>
      </c>
    </row>
    <row r="775" spans="1:2" s="1" customFormat="1" x14ac:dyDescent="0.25">
      <c r="A775" s="2" t="str">
        <f>IF(Сотрудники!A782&lt;&gt;"",Сотрудники!A782,"")</f>
        <v/>
      </c>
      <c r="B775" s="1" t="str">
        <f>IF(Сотрудники!B782 &lt;&gt; "",Сотрудники!B782,"")</f>
        <v/>
      </c>
    </row>
    <row r="776" spans="1:2" s="1" customFormat="1" x14ac:dyDescent="0.25">
      <c r="A776" s="2" t="str">
        <f>IF(Сотрудники!A783&lt;&gt;"",Сотрудники!A783,"")</f>
        <v/>
      </c>
      <c r="B776" s="1" t="str">
        <f>IF(Сотрудники!B783 &lt;&gt; "",Сотрудники!B783,"")</f>
        <v/>
      </c>
    </row>
    <row r="777" spans="1:2" s="1" customFormat="1" x14ac:dyDescent="0.25">
      <c r="A777" s="2" t="str">
        <f>IF(Сотрудники!A784&lt;&gt;"",Сотрудники!A784,"")</f>
        <v/>
      </c>
      <c r="B777" s="1" t="str">
        <f>IF(Сотрудники!B784 &lt;&gt; "",Сотрудники!B784,"")</f>
        <v/>
      </c>
    </row>
    <row r="778" spans="1:2" s="1" customFormat="1" x14ac:dyDescent="0.25">
      <c r="A778" s="2" t="str">
        <f>IF(Сотрудники!A785&lt;&gt;"",Сотрудники!A785,"")</f>
        <v/>
      </c>
      <c r="B778" s="1" t="str">
        <f>IF(Сотрудники!B785 &lt;&gt; "",Сотрудники!B785,"")</f>
        <v/>
      </c>
    </row>
    <row r="779" spans="1:2" s="1" customFormat="1" x14ac:dyDescent="0.25">
      <c r="A779" s="2" t="str">
        <f>IF(Сотрудники!A786&lt;&gt;"",Сотрудники!A786,"")</f>
        <v/>
      </c>
      <c r="B779" s="1" t="str">
        <f>IF(Сотрудники!B786 &lt;&gt; "",Сотрудники!B786,"")</f>
        <v/>
      </c>
    </row>
    <row r="780" spans="1:2" s="1" customFormat="1" x14ac:dyDescent="0.25">
      <c r="A780" s="2" t="str">
        <f>IF(Сотрудники!A787&lt;&gt;"",Сотрудники!A787,"")</f>
        <v/>
      </c>
      <c r="B780" s="1" t="str">
        <f>IF(Сотрудники!B787 &lt;&gt; "",Сотрудники!B787,"")</f>
        <v/>
      </c>
    </row>
    <row r="781" spans="1:2" s="1" customFormat="1" x14ac:dyDescent="0.25">
      <c r="A781" s="2" t="str">
        <f>IF(Сотрудники!A788&lt;&gt;"",Сотрудники!A788,"")</f>
        <v/>
      </c>
      <c r="B781" s="1" t="str">
        <f>IF(Сотрудники!B788 &lt;&gt; "",Сотрудники!B788,"")</f>
        <v/>
      </c>
    </row>
    <row r="782" spans="1:2" s="1" customFormat="1" x14ac:dyDescent="0.25">
      <c r="A782" s="2" t="str">
        <f>IF(Сотрудники!A789&lt;&gt;"",Сотрудники!A789,"")</f>
        <v/>
      </c>
      <c r="B782" s="1" t="str">
        <f>IF(Сотрудники!B789 &lt;&gt; "",Сотрудники!B789,"")</f>
        <v/>
      </c>
    </row>
    <row r="783" spans="1:2" s="1" customFormat="1" x14ac:dyDescent="0.25">
      <c r="A783" s="2" t="str">
        <f>IF(Сотрудники!A790&lt;&gt;"",Сотрудники!A790,"")</f>
        <v/>
      </c>
      <c r="B783" s="1" t="str">
        <f>IF(Сотрудники!B790 &lt;&gt; "",Сотрудники!B790,"")</f>
        <v/>
      </c>
    </row>
    <row r="784" spans="1:2" s="1" customFormat="1" x14ac:dyDescent="0.25">
      <c r="A784" s="2" t="str">
        <f>IF(Сотрудники!A791&lt;&gt;"",Сотрудники!A791,"")</f>
        <v/>
      </c>
      <c r="B784" s="1" t="str">
        <f>IF(Сотрудники!B791 &lt;&gt; "",Сотрудники!B791,"")</f>
        <v/>
      </c>
    </row>
    <row r="785" spans="1:2" s="1" customFormat="1" x14ac:dyDescent="0.25">
      <c r="A785" s="2" t="str">
        <f>IF(Сотрудники!A792&lt;&gt;"",Сотрудники!A792,"")</f>
        <v/>
      </c>
      <c r="B785" s="1" t="str">
        <f>IF(Сотрудники!B792 &lt;&gt; "",Сотрудники!B792,"")</f>
        <v/>
      </c>
    </row>
    <row r="786" spans="1:2" s="1" customFormat="1" x14ac:dyDescent="0.25">
      <c r="A786" s="2" t="str">
        <f>IF(Сотрудники!A793&lt;&gt;"",Сотрудники!A793,"")</f>
        <v/>
      </c>
      <c r="B786" s="1" t="str">
        <f>IF(Сотрудники!B793 &lt;&gt; "",Сотрудники!B793,"")</f>
        <v/>
      </c>
    </row>
    <row r="787" spans="1:2" s="1" customFormat="1" x14ac:dyDescent="0.25">
      <c r="A787" s="2" t="str">
        <f>IF(Сотрудники!A794&lt;&gt;"",Сотрудники!A794,"")</f>
        <v/>
      </c>
      <c r="B787" s="1" t="str">
        <f>IF(Сотрудники!B794 &lt;&gt; "",Сотрудники!B794,"")</f>
        <v/>
      </c>
    </row>
    <row r="788" spans="1:2" s="1" customFormat="1" x14ac:dyDescent="0.25">
      <c r="A788" s="2" t="str">
        <f>IF(Сотрудники!A795&lt;&gt;"",Сотрудники!A795,"")</f>
        <v/>
      </c>
      <c r="B788" s="1" t="str">
        <f>IF(Сотрудники!B795 &lt;&gt; "",Сотрудники!B795,"")</f>
        <v/>
      </c>
    </row>
    <row r="789" spans="1:2" s="1" customFormat="1" x14ac:dyDescent="0.25">
      <c r="A789" s="2" t="str">
        <f>IF(Сотрудники!A796&lt;&gt;"",Сотрудники!A796,"")</f>
        <v/>
      </c>
      <c r="B789" s="1" t="str">
        <f>IF(Сотрудники!B796 &lt;&gt; "",Сотрудники!B796,"")</f>
        <v/>
      </c>
    </row>
    <row r="790" spans="1:2" s="1" customFormat="1" x14ac:dyDescent="0.25">
      <c r="A790" s="2" t="str">
        <f>IF(Сотрудники!A797&lt;&gt;"",Сотрудники!A797,"")</f>
        <v/>
      </c>
      <c r="B790" s="1" t="str">
        <f>IF(Сотрудники!B797 &lt;&gt; "",Сотрудники!B797,"")</f>
        <v/>
      </c>
    </row>
    <row r="791" spans="1:2" s="1" customFormat="1" x14ac:dyDescent="0.25">
      <c r="A791" s="2" t="str">
        <f>IF(Сотрудники!A798&lt;&gt;"",Сотрудники!A798,"")</f>
        <v/>
      </c>
      <c r="B791" s="1" t="str">
        <f>IF(Сотрудники!B798 &lt;&gt; "",Сотрудники!B798,"")</f>
        <v/>
      </c>
    </row>
    <row r="792" spans="1:2" s="1" customFormat="1" x14ac:dyDescent="0.25">
      <c r="A792" s="2" t="str">
        <f>IF(Сотрудники!A799&lt;&gt;"",Сотрудники!A799,"")</f>
        <v/>
      </c>
      <c r="B792" s="1" t="str">
        <f>IF(Сотрудники!B799 &lt;&gt; "",Сотрудники!B799,"")</f>
        <v/>
      </c>
    </row>
    <row r="793" spans="1:2" s="1" customFormat="1" x14ac:dyDescent="0.25">
      <c r="A793" s="2" t="str">
        <f>IF(Сотрудники!A800&lt;&gt;"",Сотрудники!A800,"")</f>
        <v/>
      </c>
      <c r="B793" s="1" t="str">
        <f>IF(Сотрудники!B800 &lt;&gt; "",Сотрудники!B800,"")</f>
        <v/>
      </c>
    </row>
    <row r="794" spans="1:2" s="1" customFormat="1" x14ac:dyDescent="0.25">
      <c r="A794" s="2" t="str">
        <f>IF(Сотрудники!A801&lt;&gt;"",Сотрудники!A801,"")</f>
        <v/>
      </c>
      <c r="B794" s="1" t="str">
        <f>IF(Сотрудники!B801 &lt;&gt; "",Сотрудники!B801,"")</f>
        <v/>
      </c>
    </row>
    <row r="795" spans="1:2" s="1" customFormat="1" x14ac:dyDescent="0.25">
      <c r="A795" s="2" t="str">
        <f>IF(Сотрудники!A802&lt;&gt;"",Сотрудники!A802,"")</f>
        <v/>
      </c>
      <c r="B795" s="1" t="str">
        <f>IF(Сотрудники!B802 &lt;&gt; "",Сотрудники!B802,"")</f>
        <v/>
      </c>
    </row>
    <row r="796" spans="1:2" s="1" customFormat="1" x14ac:dyDescent="0.25">
      <c r="A796" s="2" t="str">
        <f>IF(Сотрудники!A803&lt;&gt;"",Сотрудники!A803,"")</f>
        <v/>
      </c>
      <c r="B796" s="1" t="str">
        <f>IF(Сотрудники!B803 &lt;&gt; "",Сотрудники!B803,"")</f>
        <v/>
      </c>
    </row>
    <row r="797" spans="1:2" s="1" customFormat="1" x14ac:dyDescent="0.25">
      <c r="A797" s="2" t="str">
        <f>IF(Сотрудники!A804&lt;&gt;"",Сотрудники!A804,"")</f>
        <v/>
      </c>
      <c r="B797" s="1" t="str">
        <f>IF(Сотрудники!B804 &lt;&gt; "",Сотрудники!B804,"")</f>
        <v/>
      </c>
    </row>
    <row r="798" spans="1:2" s="1" customFormat="1" x14ac:dyDescent="0.25">
      <c r="A798" s="2" t="str">
        <f>IF(Сотрудники!A805&lt;&gt;"",Сотрудники!A805,"")</f>
        <v/>
      </c>
      <c r="B798" s="1" t="str">
        <f>IF(Сотрудники!B805 &lt;&gt; "",Сотрудники!B805,"")</f>
        <v/>
      </c>
    </row>
    <row r="799" spans="1:2" s="1" customFormat="1" x14ac:dyDescent="0.25">
      <c r="A799" s="2" t="str">
        <f>IF(Сотрудники!A806&lt;&gt;"",Сотрудники!A806,"")</f>
        <v/>
      </c>
      <c r="B799" s="1" t="str">
        <f>IF(Сотрудники!B806 &lt;&gt; "",Сотрудники!B806,"")</f>
        <v/>
      </c>
    </row>
    <row r="800" spans="1:2" s="1" customFormat="1" x14ac:dyDescent="0.25">
      <c r="A800" s="2" t="str">
        <f>IF(Сотрудники!A807&lt;&gt;"",Сотрудники!A807,"")</f>
        <v/>
      </c>
      <c r="B800" s="1" t="str">
        <f>IF(Сотрудники!B807 &lt;&gt; "",Сотрудники!B807,"")</f>
        <v/>
      </c>
    </row>
    <row r="801" spans="1:2" s="1" customFormat="1" x14ac:dyDescent="0.25">
      <c r="A801" s="2" t="str">
        <f>IF(Сотрудники!A808&lt;&gt;"",Сотрудники!A808,"")</f>
        <v/>
      </c>
      <c r="B801" s="1" t="str">
        <f>IF(Сотрудники!B808 &lt;&gt; "",Сотрудники!B808,"")</f>
        <v/>
      </c>
    </row>
    <row r="802" spans="1:2" s="1" customFormat="1" x14ac:dyDescent="0.25">
      <c r="A802" s="2" t="str">
        <f>IF(Сотрудники!A809&lt;&gt;"",Сотрудники!A809,"")</f>
        <v/>
      </c>
      <c r="B802" s="1" t="str">
        <f>IF(Сотрудники!B809 &lt;&gt; "",Сотрудники!B809,"")</f>
        <v/>
      </c>
    </row>
    <row r="803" spans="1:2" s="1" customFormat="1" x14ac:dyDescent="0.25">
      <c r="A803" s="2" t="str">
        <f>IF(Сотрудники!A810&lt;&gt;"",Сотрудники!A810,"")</f>
        <v/>
      </c>
      <c r="B803" s="1" t="str">
        <f>IF(Сотрудники!B810 &lt;&gt; "",Сотрудники!B810,"")</f>
        <v/>
      </c>
    </row>
    <row r="804" spans="1:2" s="1" customFormat="1" x14ac:dyDescent="0.25">
      <c r="A804" s="2" t="str">
        <f>IF(Сотрудники!A811&lt;&gt;"",Сотрудники!A811,"")</f>
        <v/>
      </c>
      <c r="B804" s="1" t="str">
        <f>IF(Сотрудники!B811 &lt;&gt; "",Сотрудники!B811,"")</f>
        <v/>
      </c>
    </row>
    <row r="805" spans="1:2" s="1" customFormat="1" x14ac:dyDescent="0.25">
      <c r="A805" s="2" t="str">
        <f>IF(Сотрудники!A812&lt;&gt;"",Сотрудники!A812,"")</f>
        <v/>
      </c>
      <c r="B805" s="1" t="str">
        <f>IF(Сотрудники!B812 &lt;&gt; "",Сотрудники!B812,"")</f>
        <v/>
      </c>
    </row>
    <row r="806" spans="1:2" s="1" customFormat="1" x14ac:dyDescent="0.25">
      <c r="A806" s="2" t="str">
        <f>IF(Сотрудники!A813&lt;&gt;"",Сотрудники!A813,"")</f>
        <v/>
      </c>
      <c r="B806" s="1" t="str">
        <f>IF(Сотрудники!B813 &lt;&gt; "",Сотрудники!B813,"")</f>
        <v/>
      </c>
    </row>
    <row r="807" spans="1:2" s="1" customFormat="1" x14ac:dyDescent="0.25">
      <c r="A807" s="2" t="str">
        <f>IF(Сотрудники!A814&lt;&gt;"",Сотрудники!A814,"")</f>
        <v/>
      </c>
      <c r="B807" s="1" t="str">
        <f>IF(Сотрудники!B814 &lt;&gt; "",Сотрудники!B814,"")</f>
        <v/>
      </c>
    </row>
    <row r="808" spans="1:2" s="1" customFormat="1" x14ac:dyDescent="0.25">
      <c r="A808" s="2" t="str">
        <f>IF(Сотрудники!A815&lt;&gt;"",Сотрудники!A815,"")</f>
        <v/>
      </c>
      <c r="B808" s="1" t="str">
        <f>IF(Сотрудники!B815 &lt;&gt; "",Сотрудники!B815,"")</f>
        <v/>
      </c>
    </row>
    <row r="809" spans="1:2" s="1" customFormat="1" x14ac:dyDescent="0.25">
      <c r="A809" s="2" t="str">
        <f>IF(Сотрудники!A816&lt;&gt;"",Сотрудники!A816,"")</f>
        <v/>
      </c>
      <c r="B809" s="1" t="str">
        <f>IF(Сотрудники!B816 &lt;&gt; "",Сотрудники!B816,"")</f>
        <v/>
      </c>
    </row>
    <row r="810" spans="1:2" s="1" customFormat="1" x14ac:dyDescent="0.25">
      <c r="A810" s="2" t="str">
        <f>IF(Сотрудники!A817&lt;&gt;"",Сотрудники!A817,"")</f>
        <v/>
      </c>
      <c r="B810" s="1" t="str">
        <f>IF(Сотрудники!B817 &lt;&gt; "",Сотрудники!B817,"")</f>
        <v/>
      </c>
    </row>
    <row r="811" spans="1:2" s="1" customFormat="1" x14ac:dyDescent="0.25">
      <c r="A811" s="2" t="str">
        <f>IF(Сотрудники!A818&lt;&gt;"",Сотрудники!A818,"")</f>
        <v/>
      </c>
      <c r="B811" s="1" t="str">
        <f>IF(Сотрудники!B818 &lt;&gt; "",Сотрудники!B818,"")</f>
        <v/>
      </c>
    </row>
    <row r="812" spans="1:2" s="1" customFormat="1" x14ac:dyDescent="0.25">
      <c r="A812" s="2" t="str">
        <f>IF(Сотрудники!A819&lt;&gt;"",Сотрудники!A819,"")</f>
        <v/>
      </c>
      <c r="B812" s="1" t="str">
        <f>IF(Сотрудники!B819 &lt;&gt; "",Сотрудники!B819,"")</f>
        <v/>
      </c>
    </row>
    <row r="813" spans="1:2" s="1" customFormat="1" x14ac:dyDescent="0.25">
      <c r="A813" s="2" t="str">
        <f>IF(Сотрудники!A820&lt;&gt;"",Сотрудники!A820,"")</f>
        <v/>
      </c>
      <c r="B813" s="1" t="str">
        <f>IF(Сотрудники!B820 &lt;&gt; "",Сотрудники!B820,"")</f>
        <v/>
      </c>
    </row>
    <row r="814" spans="1:2" s="1" customFormat="1" x14ac:dyDescent="0.25">
      <c r="A814" s="2" t="str">
        <f>IF(Сотрудники!A821&lt;&gt;"",Сотрудники!A821,"")</f>
        <v/>
      </c>
      <c r="B814" s="1" t="str">
        <f>IF(Сотрудники!B821 &lt;&gt; "",Сотрудники!B821,"")</f>
        <v/>
      </c>
    </row>
    <row r="815" spans="1:2" s="1" customFormat="1" x14ac:dyDescent="0.25">
      <c r="A815" s="2" t="str">
        <f>IF(Сотрудники!A822&lt;&gt;"",Сотрудники!A822,"")</f>
        <v/>
      </c>
      <c r="B815" s="1" t="str">
        <f>IF(Сотрудники!B822 &lt;&gt; "",Сотрудники!B822,"")</f>
        <v/>
      </c>
    </row>
    <row r="816" spans="1:2" s="1" customFormat="1" x14ac:dyDescent="0.25">
      <c r="A816" s="2" t="str">
        <f>IF(Сотрудники!A823&lt;&gt;"",Сотрудники!A823,"")</f>
        <v/>
      </c>
      <c r="B816" s="1" t="str">
        <f>IF(Сотрудники!B823 &lt;&gt; "",Сотрудники!B823,"")</f>
        <v/>
      </c>
    </row>
    <row r="817" spans="1:2" s="1" customFormat="1" x14ac:dyDescent="0.25">
      <c r="A817" s="2" t="str">
        <f>IF(Сотрудники!A824&lt;&gt;"",Сотрудники!A824,"")</f>
        <v/>
      </c>
      <c r="B817" s="1" t="str">
        <f>IF(Сотрудники!B824 &lt;&gt; "",Сотрудники!B824,"")</f>
        <v/>
      </c>
    </row>
    <row r="818" spans="1:2" s="1" customFormat="1" x14ac:dyDescent="0.25">
      <c r="A818" s="2" t="str">
        <f>IF(Сотрудники!A825&lt;&gt;"",Сотрудники!A825,"")</f>
        <v/>
      </c>
      <c r="B818" s="1" t="str">
        <f>IF(Сотрудники!B825 &lt;&gt; "",Сотрудники!B825,"")</f>
        <v/>
      </c>
    </row>
    <row r="819" spans="1:2" s="1" customFormat="1" x14ac:dyDescent="0.25">
      <c r="A819" s="2" t="str">
        <f>IF(Сотрудники!A826&lt;&gt;"",Сотрудники!A826,"")</f>
        <v/>
      </c>
      <c r="B819" s="1" t="str">
        <f>IF(Сотрудники!B826 &lt;&gt; "",Сотрудники!B826,"")</f>
        <v/>
      </c>
    </row>
    <row r="820" spans="1:2" s="1" customFormat="1" x14ac:dyDescent="0.25">
      <c r="A820" s="2" t="str">
        <f>IF(Сотрудники!A827&lt;&gt;"",Сотрудники!A827,"")</f>
        <v/>
      </c>
      <c r="B820" s="1" t="str">
        <f>IF(Сотрудники!B827 &lt;&gt; "",Сотрудники!B827,"")</f>
        <v/>
      </c>
    </row>
    <row r="821" spans="1:2" s="1" customFormat="1" x14ac:dyDescent="0.25">
      <c r="A821" s="2" t="str">
        <f>IF(Сотрудники!A828&lt;&gt;"",Сотрудники!A828,"")</f>
        <v/>
      </c>
      <c r="B821" s="1" t="str">
        <f>IF(Сотрудники!B828 &lt;&gt; "",Сотрудники!B828,"")</f>
        <v/>
      </c>
    </row>
    <row r="822" spans="1:2" s="1" customFormat="1" x14ac:dyDescent="0.25">
      <c r="A822" s="2" t="str">
        <f>IF(Сотрудники!A829&lt;&gt;"",Сотрудники!A829,"")</f>
        <v/>
      </c>
      <c r="B822" s="1" t="str">
        <f>IF(Сотрудники!B829 &lt;&gt; "",Сотрудники!B829,"")</f>
        <v/>
      </c>
    </row>
    <row r="823" spans="1:2" s="1" customFormat="1" x14ac:dyDescent="0.25">
      <c r="A823" s="2" t="str">
        <f>IF(Сотрудники!A830&lt;&gt;"",Сотрудники!A830,"")</f>
        <v/>
      </c>
      <c r="B823" s="1" t="str">
        <f>IF(Сотрудники!B830 &lt;&gt; "",Сотрудники!B830,"")</f>
        <v/>
      </c>
    </row>
    <row r="824" spans="1:2" s="1" customFormat="1" x14ac:dyDescent="0.25">
      <c r="A824" s="2" t="str">
        <f>IF(Сотрудники!A831&lt;&gt;"",Сотрудники!A831,"")</f>
        <v/>
      </c>
      <c r="B824" s="1" t="str">
        <f>IF(Сотрудники!B831 &lt;&gt; "",Сотрудники!B831,"")</f>
        <v/>
      </c>
    </row>
    <row r="825" spans="1:2" s="1" customFormat="1" x14ac:dyDescent="0.25">
      <c r="A825" s="2" t="str">
        <f>IF(Сотрудники!A832&lt;&gt;"",Сотрудники!A832,"")</f>
        <v/>
      </c>
      <c r="B825" s="1" t="str">
        <f>IF(Сотрудники!B832 &lt;&gt; "",Сотрудники!B832,"")</f>
        <v/>
      </c>
    </row>
    <row r="826" spans="1:2" s="1" customFormat="1" x14ac:dyDescent="0.25">
      <c r="A826" s="2" t="str">
        <f>IF(Сотрудники!A833&lt;&gt;"",Сотрудники!A833,"")</f>
        <v/>
      </c>
      <c r="B826" s="1" t="str">
        <f>IF(Сотрудники!B833 &lt;&gt; "",Сотрудники!B833,"")</f>
        <v/>
      </c>
    </row>
    <row r="827" spans="1:2" s="1" customFormat="1" x14ac:dyDescent="0.25">
      <c r="A827" s="2" t="str">
        <f>IF(Сотрудники!A834&lt;&gt;"",Сотрудники!A834,"")</f>
        <v/>
      </c>
      <c r="B827" s="1" t="str">
        <f>IF(Сотрудники!B834 &lt;&gt; "",Сотрудники!B834,"")</f>
        <v/>
      </c>
    </row>
    <row r="828" spans="1:2" s="1" customFormat="1" x14ac:dyDescent="0.25">
      <c r="A828" s="2" t="str">
        <f>IF(Сотрудники!A835&lt;&gt;"",Сотрудники!A835,"")</f>
        <v/>
      </c>
      <c r="B828" s="1" t="str">
        <f>IF(Сотрудники!B835 &lt;&gt; "",Сотрудники!B835,"")</f>
        <v/>
      </c>
    </row>
    <row r="829" spans="1:2" s="1" customFormat="1" x14ac:dyDescent="0.25">
      <c r="A829" s="2" t="str">
        <f>IF(Сотрудники!A836&lt;&gt;"",Сотрудники!A836,"")</f>
        <v/>
      </c>
      <c r="B829" s="1" t="str">
        <f>IF(Сотрудники!B836 &lt;&gt; "",Сотрудники!B836,"")</f>
        <v/>
      </c>
    </row>
    <row r="830" spans="1:2" s="1" customFormat="1" x14ac:dyDescent="0.25">
      <c r="A830" s="2" t="str">
        <f>IF(Сотрудники!A837&lt;&gt;"",Сотрудники!A837,"")</f>
        <v/>
      </c>
      <c r="B830" s="1" t="str">
        <f>IF(Сотрудники!B837 &lt;&gt; "",Сотрудники!B837,"")</f>
        <v/>
      </c>
    </row>
    <row r="831" spans="1:2" s="1" customFormat="1" x14ac:dyDescent="0.25">
      <c r="A831" s="2" t="str">
        <f>IF(Сотрудники!A838&lt;&gt;"",Сотрудники!A838,"")</f>
        <v/>
      </c>
      <c r="B831" s="1" t="str">
        <f>IF(Сотрудники!B838 &lt;&gt; "",Сотрудники!B838,"")</f>
        <v/>
      </c>
    </row>
    <row r="832" spans="1:2" s="1" customFormat="1" x14ac:dyDescent="0.25">
      <c r="A832" s="2" t="str">
        <f>IF(Сотрудники!A839&lt;&gt;"",Сотрудники!A839,"")</f>
        <v/>
      </c>
      <c r="B832" s="1" t="str">
        <f>IF(Сотрудники!B839 &lt;&gt; "",Сотрудники!B839,"")</f>
        <v/>
      </c>
    </row>
    <row r="833" spans="1:2" s="1" customFormat="1" x14ac:dyDescent="0.25">
      <c r="A833" s="2" t="str">
        <f>IF(Сотрудники!A840&lt;&gt;"",Сотрудники!A840,"")</f>
        <v/>
      </c>
      <c r="B833" s="1" t="str">
        <f>IF(Сотрудники!B840 &lt;&gt; "",Сотрудники!B840,"")</f>
        <v/>
      </c>
    </row>
    <row r="834" spans="1:2" s="1" customFormat="1" x14ac:dyDescent="0.25">
      <c r="A834" s="2" t="str">
        <f>IF(Сотрудники!A841&lt;&gt;"",Сотрудники!A841,"")</f>
        <v/>
      </c>
      <c r="B834" s="1" t="str">
        <f>IF(Сотрудники!B841 &lt;&gt; "",Сотрудники!B841,"")</f>
        <v/>
      </c>
    </row>
    <row r="835" spans="1:2" s="1" customFormat="1" x14ac:dyDescent="0.25">
      <c r="A835" s="2" t="str">
        <f>IF(Сотрудники!A842&lt;&gt;"",Сотрудники!A842,"")</f>
        <v/>
      </c>
      <c r="B835" s="1" t="str">
        <f>IF(Сотрудники!B842 &lt;&gt; "",Сотрудники!B842,"")</f>
        <v/>
      </c>
    </row>
    <row r="836" spans="1:2" s="1" customFormat="1" x14ac:dyDescent="0.25">
      <c r="A836" s="2" t="str">
        <f>IF(Сотрудники!A843&lt;&gt;"",Сотрудники!A843,"")</f>
        <v/>
      </c>
      <c r="B836" s="1" t="str">
        <f>IF(Сотрудники!B843 &lt;&gt; "",Сотрудники!B843,"")</f>
        <v/>
      </c>
    </row>
    <row r="837" spans="1:2" s="1" customFormat="1" x14ac:dyDescent="0.25">
      <c r="A837" s="2" t="str">
        <f>IF(Сотрудники!A844&lt;&gt;"",Сотрудники!A844,"")</f>
        <v/>
      </c>
      <c r="B837" s="1" t="str">
        <f>IF(Сотрудники!B844 &lt;&gt; "",Сотрудники!B844,"")</f>
        <v/>
      </c>
    </row>
    <row r="838" spans="1:2" s="1" customFormat="1" x14ac:dyDescent="0.25">
      <c r="A838" s="2" t="str">
        <f>IF(Сотрудники!A845&lt;&gt;"",Сотрудники!A845,"")</f>
        <v/>
      </c>
      <c r="B838" s="1" t="str">
        <f>IF(Сотрудники!B845 &lt;&gt; "",Сотрудники!B845,"")</f>
        <v/>
      </c>
    </row>
    <row r="839" spans="1:2" s="1" customFormat="1" x14ac:dyDescent="0.25">
      <c r="A839" s="2" t="str">
        <f>IF(Сотрудники!A846&lt;&gt;"",Сотрудники!A846,"")</f>
        <v/>
      </c>
      <c r="B839" s="1" t="str">
        <f>IF(Сотрудники!B846 &lt;&gt; "",Сотрудники!B846,"")</f>
        <v/>
      </c>
    </row>
    <row r="840" spans="1:2" s="1" customFormat="1" x14ac:dyDescent="0.25">
      <c r="A840" s="2" t="str">
        <f>IF(Сотрудники!A847&lt;&gt;"",Сотрудники!A847,"")</f>
        <v/>
      </c>
      <c r="B840" s="1" t="str">
        <f>IF(Сотрудники!B847 &lt;&gt; "",Сотрудники!B847,"")</f>
        <v/>
      </c>
    </row>
    <row r="841" spans="1:2" s="1" customFormat="1" x14ac:dyDescent="0.25">
      <c r="A841" s="2" t="str">
        <f>IF(Сотрудники!A848&lt;&gt;"",Сотрудники!A848,"")</f>
        <v/>
      </c>
      <c r="B841" s="1" t="str">
        <f>IF(Сотрудники!B848 &lt;&gt; "",Сотрудники!B848,"")</f>
        <v/>
      </c>
    </row>
    <row r="842" spans="1:2" s="1" customFormat="1" x14ac:dyDescent="0.25">
      <c r="A842" s="2" t="str">
        <f>IF(Сотрудники!A849&lt;&gt;"",Сотрудники!A849,"")</f>
        <v/>
      </c>
      <c r="B842" s="1" t="str">
        <f>IF(Сотрудники!B849 &lt;&gt; "",Сотрудники!B849,"")</f>
        <v/>
      </c>
    </row>
    <row r="843" spans="1:2" s="1" customFormat="1" x14ac:dyDescent="0.25">
      <c r="A843" s="2" t="str">
        <f>IF(Сотрудники!A850&lt;&gt;"",Сотрудники!A850,"")</f>
        <v/>
      </c>
      <c r="B843" s="1" t="str">
        <f>IF(Сотрудники!B850 &lt;&gt; "",Сотрудники!B850,"")</f>
        <v/>
      </c>
    </row>
    <row r="844" spans="1:2" s="1" customFormat="1" x14ac:dyDescent="0.25">
      <c r="A844" s="2" t="str">
        <f>IF(Сотрудники!A851&lt;&gt;"",Сотрудники!A851,"")</f>
        <v/>
      </c>
      <c r="B844" s="1" t="str">
        <f>IF(Сотрудники!B851 &lt;&gt; "",Сотрудники!B851,"")</f>
        <v/>
      </c>
    </row>
    <row r="845" spans="1:2" s="1" customFormat="1" x14ac:dyDescent="0.25">
      <c r="A845" s="2" t="str">
        <f>IF(Сотрудники!A852&lt;&gt;"",Сотрудники!A852,"")</f>
        <v/>
      </c>
      <c r="B845" s="1" t="str">
        <f>IF(Сотрудники!B852 &lt;&gt; "",Сотрудники!B852,"")</f>
        <v/>
      </c>
    </row>
    <row r="846" spans="1:2" s="1" customFormat="1" x14ac:dyDescent="0.25">
      <c r="A846" s="2" t="str">
        <f>IF(Сотрудники!A853&lt;&gt;"",Сотрудники!A853,"")</f>
        <v/>
      </c>
      <c r="B846" s="1" t="str">
        <f>IF(Сотрудники!B853 &lt;&gt; "",Сотрудники!B853,"")</f>
        <v/>
      </c>
    </row>
    <row r="847" spans="1:2" s="1" customFormat="1" x14ac:dyDescent="0.25">
      <c r="A847" s="2" t="str">
        <f>IF(Сотрудники!A854&lt;&gt;"",Сотрудники!A854,"")</f>
        <v/>
      </c>
      <c r="B847" s="1" t="str">
        <f>IF(Сотрудники!B854 &lt;&gt; "",Сотрудники!B854,"")</f>
        <v/>
      </c>
    </row>
    <row r="848" spans="1:2" s="1" customFormat="1" x14ac:dyDescent="0.25">
      <c r="A848" s="2" t="str">
        <f>IF(Сотрудники!A855&lt;&gt;"",Сотрудники!A855,"")</f>
        <v/>
      </c>
      <c r="B848" s="1" t="str">
        <f>IF(Сотрудники!B855 &lt;&gt; "",Сотрудники!B855,"")</f>
        <v/>
      </c>
    </row>
    <row r="849" spans="1:2" s="1" customFormat="1" x14ac:dyDescent="0.25">
      <c r="A849" s="2" t="str">
        <f>IF(Сотрудники!A856&lt;&gt;"",Сотрудники!A856,"")</f>
        <v/>
      </c>
      <c r="B849" s="1" t="str">
        <f>IF(Сотрудники!B856 &lt;&gt; "",Сотрудники!B856,"")</f>
        <v/>
      </c>
    </row>
    <row r="850" spans="1:2" s="1" customFormat="1" x14ac:dyDescent="0.25">
      <c r="A850" s="2" t="str">
        <f>IF(Сотрудники!A857&lt;&gt;"",Сотрудники!A857,"")</f>
        <v/>
      </c>
      <c r="B850" s="1" t="str">
        <f>IF(Сотрудники!B857 &lt;&gt; "",Сотрудники!B857,"")</f>
        <v/>
      </c>
    </row>
    <row r="851" spans="1:2" s="1" customFormat="1" x14ac:dyDescent="0.25">
      <c r="A851" s="2" t="str">
        <f>IF(Сотрудники!A858&lt;&gt;"",Сотрудники!A858,"")</f>
        <v/>
      </c>
      <c r="B851" s="1" t="str">
        <f>IF(Сотрудники!B858 &lt;&gt; "",Сотрудники!B858,"")</f>
        <v/>
      </c>
    </row>
    <row r="852" spans="1:2" s="1" customFormat="1" x14ac:dyDescent="0.25">
      <c r="A852" s="2" t="str">
        <f>IF(Сотрудники!A859&lt;&gt;"",Сотрудники!A859,"")</f>
        <v/>
      </c>
      <c r="B852" s="1" t="str">
        <f>IF(Сотрудники!B859 &lt;&gt; "",Сотрудники!B859,"")</f>
        <v/>
      </c>
    </row>
    <row r="853" spans="1:2" s="1" customFormat="1" x14ac:dyDescent="0.25">
      <c r="A853" s="2" t="str">
        <f>IF(Сотрудники!A860&lt;&gt;"",Сотрудники!A860,"")</f>
        <v/>
      </c>
      <c r="B853" s="1" t="str">
        <f>IF(Сотрудники!B860 &lt;&gt; "",Сотрудники!B860,"")</f>
        <v/>
      </c>
    </row>
    <row r="854" spans="1:2" s="1" customFormat="1" x14ac:dyDescent="0.25">
      <c r="A854" s="2" t="str">
        <f>IF(Сотрудники!A861&lt;&gt;"",Сотрудники!A861,"")</f>
        <v/>
      </c>
      <c r="B854" s="1" t="str">
        <f>IF(Сотрудники!B861 &lt;&gt; "",Сотрудники!B861,"")</f>
        <v/>
      </c>
    </row>
    <row r="855" spans="1:2" s="1" customFormat="1" x14ac:dyDescent="0.25">
      <c r="A855" s="2" t="str">
        <f>IF(Сотрудники!A862&lt;&gt;"",Сотрудники!A862,"")</f>
        <v/>
      </c>
      <c r="B855" s="1" t="str">
        <f>IF(Сотрудники!B862 &lt;&gt; "",Сотрудники!B862,"")</f>
        <v/>
      </c>
    </row>
    <row r="856" spans="1:2" s="1" customFormat="1" x14ac:dyDescent="0.25">
      <c r="A856" s="2" t="str">
        <f>IF(Сотрудники!A863&lt;&gt;"",Сотрудники!A863,"")</f>
        <v/>
      </c>
      <c r="B856" s="1" t="str">
        <f>IF(Сотрудники!B863 &lt;&gt; "",Сотрудники!B863,"")</f>
        <v/>
      </c>
    </row>
    <row r="857" spans="1:2" s="1" customFormat="1" x14ac:dyDescent="0.25">
      <c r="A857" s="2" t="str">
        <f>IF(Сотрудники!A864&lt;&gt;"",Сотрудники!A864,"")</f>
        <v/>
      </c>
      <c r="B857" s="1" t="str">
        <f>IF(Сотрудники!B864 &lt;&gt; "",Сотрудники!B864,"")</f>
        <v/>
      </c>
    </row>
    <row r="858" spans="1:2" s="1" customFormat="1" x14ac:dyDescent="0.25">
      <c r="A858" s="2" t="str">
        <f>IF(Сотрудники!A865&lt;&gt;"",Сотрудники!A865,"")</f>
        <v/>
      </c>
      <c r="B858" s="1" t="str">
        <f>IF(Сотрудники!B865 &lt;&gt; "",Сотрудники!B865,"")</f>
        <v/>
      </c>
    </row>
    <row r="859" spans="1:2" s="1" customFormat="1" x14ac:dyDescent="0.25">
      <c r="A859" s="2" t="str">
        <f>IF(Сотрудники!A866&lt;&gt;"",Сотрудники!A866,"")</f>
        <v/>
      </c>
      <c r="B859" s="1" t="str">
        <f>IF(Сотрудники!B866 &lt;&gt; "",Сотрудники!B866,"")</f>
        <v/>
      </c>
    </row>
    <row r="860" spans="1:2" s="1" customFormat="1" x14ac:dyDescent="0.25">
      <c r="A860" s="2" t="str">
        <f>IF(Сотрудники!A867&lt;&gt;"",Сотрудники!A867,"")</f>
        <v/>
      </c>
      <c r="B860" s="1" t="str">
        <f>IF(Сотрудники!B867 &lt;&gt; "",Сотрудники!B867,"")</f>
        <v/>
      </c>
    </row>
    <row r="861" spans="1:2" s="1" customFormat="1" x14ac:dyDescent="0.25">
      <c r="A861" s="2" t="str">
        <f>IF(Сотрудники!A868&lt;&gt;"",Сотрудники!A868,"")</f>
        <v/>
      </c>
      <c r="B861" s="1" t="str">
        <f>IF(Сотрудники!B868 &lt;&gt; "",Сотрудники!B868,"")</f>
        <v/>
      </c>
    </row>
    <row r="862" spans="1:2" s="1" customFormat="1" x14ac:dyDescent="0.25">
      <c r="A862" s="2" t="str">
        <f>IF(Сотрудники!A869&lt;&gt;"",Сотрудники!A869,"")</f>
        <v/>
      </c>
      <c r="B862" s="1" t="str">
        <f>IF(Сотрудники!B869 &lt;&gt; "",Сотрудники!B869,"")</f>
        <v/>
      </c>
    </row>
    <row r="863" spans="1:2" s="1" customFormat="1" x14ac:dyDescent="0.25">
      <c r="A863" s="2" t="str">
        <f>IF(Сотрудники!A870&lt;&gt;"",Сотрудники!A870,"")</f>
        <v/>
      </c>
      <c r="B863" s="1" t="str">
        <f>IF(Сотрудники!B870 &lt;&gt; "",Сотрудники!B870,"")</f>
        <v/>
      </c>
    </row>
    <row r="864" spans="1:2" s="1" customFormat="1" x14ac:dyDescent="0.25">
      <c r="A864" s="2" t="str">
        <f>IF(Сотрудники!A871&lt;&gt;"",Сотрудники!A871,"")</f>
        <v/>
      </c>
      <c r="B864" s="1" t="str">
        <f>IF(Сотрудники!B871 &lt;&gt; "",Сотрудники!B871,"")</f>
        <v/>
      </c>
    </row>
    <row r="865" spans="1:2" s="1" customFormat="1" x14ac:dyDescent="0.25">
      <c r="A865" s="2" t="str">
        <f>IF(Сотрудники!A872&lt;&gt;"",Сотрудники!A872,"")</f>
        <v/>
      </c>
      <c r="B865" s="1" t="str">
        <f>IF(Сотрудники!B872 &lt;&gt; "",Сотрудники!B872,"")</f>
        <v/>
      </c>
    </row>
    <row r="866" spans="1:2" s="1" customFormat="1" x14ac:dyDescent="0.25">
      <c r="A866" s="2" t="str">
        <f>IF(Сотрудники!A873&lt;&gt;"",Сотрудники!A873,"")</f>
        <v/>
      </c>
      <c r="B866" s="1" t="str">
        <f>IF(Сотрудники!B873 &lt;&gt; "",Сотрудники!B873,"")</f>
        <v/>
      </c>
    </row>
    <row r="867" spans="1:2" s="1" customFormat="1" x14ac:dyDescent="0.25">
      <c r="A867" s="2" t="str">
        <f>IF(Сотрудники!A874&lt;&gt;"",Сотрудники!A874,"")</f>
        <v/>
      </c>
      <c r="B867" s="1" t="str">
        <f>IF(Сотрудники!B874 &lt;&gt; "",Сотрудники!B874,"")</f>
        <v/>
      </c>
    </row>
    <row r="868" spans="1:2" s="1" customFormat="1" x14ac:dyDescent="0.25">
      <c r="A868" s="2" t="str">
        <f>IF(Сотрудники!A875&lt;&gt;"",Сотрудники!A875,"")</f>
        <v/>
      </c>
      <c r="B868" s="1" t="str">
        <f>IF(Сотрудники!B875 &lt;&gt; "",Сотрудники!B875,"")</f>
        <v/>
      </c>
    </row>
    <row r="869" spans="1:2" s="1" customFormat="1" x14ac:dyDescent="0.25">
      <c r="A869" s="2" t="str">
        <f>IF(Сотрудники!A876&lt;&gt;"",Сотрудники!A876,"")</f>
        <v/>
      </c>
      <c r="B869" s="1" t="str">
        <f>IF(Сотрудники!B876 &lt;&gt; "",Сотрудники!B876,"")</f>
        <v/>
      </c>
    </row>
    <row r="870" spans="1:2" s="1" customFormat="1" x14ac:dyDescent="0.25">
      <c r="A870" s="2" t="str">
        <f>IF(Сотрудники!A877&lt;&gt;"",Сотрудники!A877,"")</f>
        <v/>
      </c>
      <c r="B870" s="1" t="str">
        <f>IF(Сотрудники!B877 &lt;&gt; "",Сотрудники!B877,"")</f>
        <v/>
      </c>
    </row>
    <row r="871" spans="1:2" s="1" customFormat="1" x14ac:dyDescent="0.25">
      <c r="A871" s="2" t="str">
        <f>IF(Сотрудники!A878&lt;&gt;"",Сотрудники!A878,"")</f>
        <v/>
      </c>
      <c r="B871" s="1" t="str">
        <f>IF(Сотрудники!B878 &lt;&gt; "",Сотрудники!B878,"")</f>
        <v/>
      </c>
    </row>
    <row r="872" spans="1:2" s="1" customFormat="1" x14ac:dyDescent="0.25">
      <c r="A872" s="2" t="str">
        <f>IF(Сотрудники!A879&lt;&gt;"",Сотрудники!A879,"")</f>
        <v/>
      </c>
      <c r="B872" s="1" t="str">
        <f>IF(Сотрудники!B879 &lt;&gt; "",Сотрудники!B879,"")</f>
        <v/>
      </c>
    </row>
    <row r="873" spans="1:2" s="1" customFormat="1" x14ac:dyDescent="0.25">
      <c r="A873" s="2" t="str">
        <f>IF(Сотрудники!A880&lt;&gt;"",Сотрудники!A880,"")</f>
        <v/>
      </c>
      <c r="B873" s="1" t="str">
        <f>IF(Сотрудники!B880 &lt;&gt; "",Сотрудники!B880,"")</f>
        <v/>
      </c>
    </row>
    <row r="874" spans="1:2" s="1" customFormat="1" x14ac:dyDescent="0.25">
      <c r="A874" s="2" t="str">
        <f>IF(Сотрудники!A881&lt;&gt;"",Сотрудники!A881,"")</f>
        <v/>
      </c>
      <c r="B874" s="1" t="str">
        <f>IF(Сотрудники!B881 &lt;&gt; "",Сотрудники!B881,"")</f>
        <v/>
      </c>
    </row>
    <row r="875" spans="1:2" s="1" customFormat="1" x14ac:dyDescent="0.25">
      <c r="A875" s="2" t="str">
        <f>IF(Сотрудники!A882&lt;&gt;"",Сотрудники!A882,"")</f>
        <v/>
      </c>
      <c r="B875" s="1" t="str">
        <f>IF(Сотрудники!B882 &lt;&gt; "",Сотрудники!B882,"")</f>
        <v/>
      </c>
    </row>
    <row r="876" spans="1:2" s="1" customFormat="1" x14ac:dyDescent="0.25">
      <c r="A876" s="2" t="str">
        <f>IF(Сотрудники!A883&lt;&gt;"",Сотрудники!A883,"")</f>
        <v/>
      </c>
      <c r="B876" s="1" t="str">
        <f>IF(Сотрудники!B883 &lt;&gt; "",Сотрудники!B883,"")</f>
        <v/>
      </c>
    </row>
    <row r="877" spans="1:2" s="1" customFormat="1" x14ac:dyDescent="0.25">
      <c r="A877" s="2" t="str">
        <f>IF(Сотрудники!A884&lt;&gt;"",Сотрудники!A884,"")</f>
        <v/>
      </c>
      <c r="B877" s="1" t="str">
        <f>IF(Сотрудники!B884 &lt;&gt; "",Сотрудники!B884,"")</f>
        <v/>
      </c>
    </row>
    <row r="878" spans="1:2" s="1" customFormat="1" x14ac:dyDescent="0.25">
      <c r="A878" s="2" t="str">
        <f>IF(Сотрудники!A885&lt;&gt;"",Сотрудники!A885,"")</f>
        <v/>
      </c>
      <c r="B878" s="1" t="str">
        <f>IF(Сотрудники!B885 &lt;&gt; "",Сотрудники!B885,"")</f>
        <v/>
      </c>
    </row>
    <row r="879" spans="1:2" s="1" customFormat="1" x14ac:dyDescent="0.25">
      <c r="A879" s="2" t="str">
        <f>IF(Сотрудники!A886&lt;&gt;"",Сотрудники!A886,"")</f>
        <v/>
      </c>
      <c r="B879" s="1" t="str">
        <f>IF(Сотрудники!B886 &lt;&gt; "",Сотрудники!B886,"")</f>
        <v/>
      </c>
    </row>
    <row r="880" spans="1:2" s="1" customFormat="1" x14ac:dyDescent="0.25">
      <c r="A880" s="2" t="str">
        <f>IF(Сотрудники!A887&lt;&gt;"",Сотрудники!A887,"")</f>
        <v/>
      </c>
      <c r="B880" s="1" t="str">
        <f>IF(Сотрудники!B887 &lt;&gt; "",Сотрудники!B887,"")</f>
        <v/>
      </c>
    </row>
    <row r="881" spans="1:2" s="1" customFormat="1" x14ac:dyDescent="0.25">
      <c r="A881" s="2" t="str">
        <f>IF(Сотрудники!A888&lt;&gt;"",Сотрудники!A888,"")</f>
        <v/>
      </c>
      <c r="B881" s="1" t="str">
        <f>IF(Сотрудники!B888 &lt;&gt; "",Сотрудники!B888,"")</f>
        <v/>
      </c>
    </row>
    <row r="882" spans="1:2" s="1" customFormat="1" x14ac:dyDescent="0.25">
      <c r="A882" s="2" t="str">
        <f>IF(Сотрудники!A889&lt;&gt;"",Сотрудники!A889,"")</f>
        <v/>
      </c>
      <c r="B882" s="1" t="str">
        <f>IF(Сотрудники!B889 &lt;&gt; "",Сотрудники!B889,"")</f>
        <v/>
      </c>
    </row>
    <row r="883" spans="1:2" s="1" customFormat="1" x14ac:dyDescent="0.25">
      <c r="A883" s="2" t="str">
        <f>IF(Сотрудники!A890&lt;&gt;"",Сотрудники!A890,"")</f>
        <v/>
      </c>
      <c r="B883" s="1" t="str">
        <f>IF(Сотрудники!B890 &lt;&gt; "",Сотрудники!B890,"")</f>
        <v/>
      </c>
    </row>
    <row r="884" spans="1:2" s="1" customFormat="1" x14ac:dyDescent="0.25">
      <c r="A884" s="2" t="str">
        <f>IF(Сотрудники!A891&lt;&gt;"",Сотрудники!A891,"")</f>
        <v/>
      </c>
      <c r="B884" s="1" t="str">
        <f>IF(Сотрудники!B891 &lt;&gt; "",Сотрудники!B891,"")</f>
        <v/>
      </c>
    </row>
    <row r="885" spans="1:2" s="1" customFormat="1" x14ac:dyDescent="0.25">
      <c r="A885" s="2" t="str">
        <f>IF(Сотрудники!A892&lt;&gt;"",Сотрудники!A892,"")</f>
        <v/>
      </c>
      <c r="B885" s="1" t="str">
        <f>IF(Сотрудники!B892 &lt;&gt; "",Сотрудники!B892,"")</f>
        <v/>
      </c>
    </row>
    <row r="886" spans="1:2" s="1" customFormat="1" x14ac:dyDescent="0.25">
      <c r="A886" s="2" t="str">
        <f>IF(Сотрудники!A893&lt;&gt;"",Сотрудники!A893,"")</f>
        <v/>
      </c>
      <c r="B886" s="1" t="str">
        <f>IF(Сотрудники!B893 &lt;&gt; "",Сотрудники!B893,"")</f>
        <v/>
      </c>
    </row>
    <row r="887" spans="1:2" s="1" customFormat="1" x14ac:dyDescent="0.25">
      <c r="A887" s="2" t="str">
        <f>IF(Сотрудники!A894&lt;&gt;"",Сотрудники!A894,"")</f>
        <v/>
      </c>
      <c r="B887" s="1" t="str">
        <f>IF(Сотрудники!B894 &lt;&gt; "",Сотрудники!B894,"")</f>
        <v/>
      </c>
    </row>
    <row r="888" spans="1:2" s="1" customFormat="1" x14ac:dyDescent="0.25">
      <c r="A888" s="2" t="str">
        <f>IF(Сотрудники!A895&lt;&gt;"",Сотрудники!A895,"")</f>
        <v/>
      </c>
      <c r="B888" s="1" t="str">
        <f>IF(Сотрудники!B895 &lt;&gt; "",Сотрудники!B895,"")</f>
        <v/>
      </c>
    </row>
    <row r="889" spans="1:2" s="1" customFormat="1" x14ac:dyDescent="0.25">
      <c r="A889" s="2" t="str">
        <f>IF(Сотрудники!A896&lt;&gt;"",Сотрудники!A896,"")</f>
        <v/>
      </c>
      <c r="B889" s="1" t="str">
        <f>IF(Сотрудники!B896 &lt;&gt; "",Сотрудники!B896,"")</f>
        <v/>
      </c>
    </row>
    <row r="890" spans="1:2" s="1" customFormat="1" x14ac:dyDescent="0.25">
      <c r="A890" s="2" t="str">
        <f>IF(Сотрудники!A897&lt;&gt;"",Сотрудники!A897,"")</f>
        <v/>
      </c>
      <c r="B890" s="1" t="str">
        <f>IF(Сотрудники!B897 &lt;&gt; "",Сотрудники!B897,"")</f>
        <v/>
      </c>
    </row>
    <row r="891" spans="1:2" s="1" customFormat="1" x14ac:dyDescent="0.25">
      <c r="A891" s="2" t="str">
        <f>IF(Сотрудники!A898&lt;&gt;"",Сотрудники!A898,"")</f>
        <v/>
      </c>
      <c r="B891" s="1" t="str">
        <f>IF(Сотрудники!B898 &lt;&gt; "",Сотрудники!B898,"")</f>
        <v/>
      </c>
    </row>
    <row r="892" spans="1:2" s="1" customFormat="1" x14ac:dyDescent="0.25">
      <c r="A892" s="2" t="str">
        <f>IF(Сотрудники!A899&lt;&gt;"",Сотрудники!A899,"")</f>
        <v/>
      </c>
      <c r="B892" s="1" t="str">
        <f>IF(Сотрудники!B899 &lt;&gt; "",Сотрудники!B899,"")</f>
        <v/>
      </c>
    </row>
    <row r="893" spans="1:2" s="1" customFormat="1" x14ac:dyDescent="0.25">
      <c r="A893" s="2" t="str">
        <f>IF(Сотрудники!A900&lt;&gt;"",Сотрудники!A900,"")</f>
        <v/>
      </c>
      <c r="B893" s="1" t="str">
        <f>IF(Сотрудники!B900 &lt;&gt; "",Сотрудники!B900,"")</f>
        <v/>
      </c>
    </row>
    <row r="894" spans="1:2" s="1" customFormat="1" x14ac:dyDescent="0.25">
      <c r="A894" s="2" t="str">
        <f>IF(Сотрудники!A901&lt;&gt;"",Сотрудники!A901,"")</f>
        <v/>
      </c>
      <c r="B894" s="1" t="str">
        <f>IF(Сотрудники!B901 &lt;&gt; "",Сотрудники!B901,"")</f>
        <v/>
      </c>
    </row>
    <row r="895" spans="1:2" s="1" customFormat="1" x14ac:dyDescent="0.25">
      <c r="A895" s="2" t="str">
        <f>IF(Сотрудники!A902&lt;&gt;"",Сотрудники!A902,"")</f>
        <v/>
      </c>
      <c r="B895" s="1" t="str">
        <f>IF(Сотрудники!B902 &lt;&gt; "",Сотрудники!B902,"")</f>
        <v/>
      </c>
    </row>
    <row r="896" spans="1:2" s="1" customFormat="1" x14ac:dyDescent="0.25">
      <c r="A896" s="2" t="str">
        <f>IF(Сотрудники!A903&lt;&gt;"",Сотрудники!A903,"")</f>
        <v/>
      </c>
      <c r="B896" s="1" t="str">
        <f>IF(Сотрудники!B903 &lt;&gt; "",Сотрудники!B903,"")</f>
        <v/>
      </c>
    </row>
    <row r="897" spans="1:2" s="1" customFormat="1" x14ac:dyDescent="0.25">
      <c r="A897" s="2" t="str">
        <f>IF(Сотрудники!A904&lt;&gt;"",Сотрудники!A904,"")</f>
        <v/>
      </c>
      <c r="B897" s="1" t="str">
        <f>IF(Сотрудники!B904 &lt;&gt; "",Сотрудники!B904,"")</f>
        <v/>
      </c>
    </row>
    <row r="898" spans="1:2" s="1" customFormat="1" x14ac:dyDescent="0.25">
      <c r="A898" s="2" t="str">
        <f>IF(Сотрудники!A905&lt;&gt;"",Сотрудники!A905,"")</f>
        <v/>
      </c>
      <c r="B898" s="1" t="str">
        <f>IF(Сотрудники!B905 &lt;&gt; "",Сотрудники!B905,"")</f>
        <v/>
      </c>
    </row>
    <row r="899" spans="1:2" s="1" customFormat="1" x14ac:dyDescent="0.25">
      <c r="A899" s="2" t="str">
        <f>IF(Сотрудники!A906&lt;&gt;"",Сотрудники!A906,"")</f>
        <v/>
      </c>
      <c r="B899" s="1" t="str">
        <f>IF(Сотрудники!B906 &lt;&gt; "",Сотрудники!B906,"")</f>
        <v/>
      </c>
    </row>
    <row r="900" spans="1:2" s="1" customFormat="1" x14ac:dyDescent="0.25">
      <c r="A900" s="2" t="str">
        <f>IF(Сотрудники!A907&lt;&gt;"",Сотрудники!A907,"")</f>
        <v/>
      </c>
      <c r="B900" s="1" t="str">
        <f>IF(Сотрудники!B907 &lt;&gt; "",Сотрудники!B907,"")</f>
        <v/>
      </c>
    </row>
    <row r="901" spans="1:2" s="1" customFormat="1" x14ac:dyDescent="0.25">
      <c r="A901" s="2" t="str">
        <f>IF(Сотрудники!A908&lt;&gt;"",Сотрудники!A908,"")</f>
        <v/>
      </c>
      <c r="B901" s="1" t="str">
        <f>IF(Сотрудники!B908 &lt;&gt; "",Сотрудники!B908,"")</f>
        <v/>
      </c>
    </row>
    <row r="902" spans="1:2" s="1" customFormat="1" x14ac:dyDescent="0.25">
      <c r="A902" s="2" t="str">
        <f>IF(Сотрудники!A909&lt;&gt;"",Сотрудники!A909,"")</f>
        <v/>
      </c>
      <c r="B902" s="1" t="str">
        <f>IF(Сотрудники!B909 &lt;&gt; "",Сотрудники!B909,"")</f>
        <v/>
      </c>
    </row>
    <row r="903" spans="1:2" s="1" customFormat="1" x14ac:dyDescent="0.25">
      <c r="A903" s="2" t="str">
        <f>IF(Сотрудники!A910&lt;&gt;"",Сотрудники!A910,"")</f>
        <v/>
      </c>
      <c r="B903" s="1" t="str">
        <f>IF(Сотрудники!B910 &lt;&gt; "",Сотрудники!B910,"")</f>
        <v/>
      </c>
    </row>
    <row r="904" spans="1:2" s="1" customFormat="1" x14ac:dyDescent="0.25">
      <c r="A904" s="2" t="str">
        <f>IF(Сотрудники!A911&lt;&gt;"",Сотрудники!A911,"")</f>
        <v/>
      </c>
      <c r="B904" s="1" t="str">
        <f>IF(Сотрудники!B911 &lt;&gt; "",Сотрудники!B911,"")</f>
        <v/>
      </c>
    </row>
    <row r="905" spans="1:2" s="1" customFormat="1" x14ac:dyDescent="0.25">
      <c r="A905" s="2" t="str">
        <f>IF(Сотрудники!A912&lt;&gt;"",Сотрудники!A912,"")</f>
        <v/>
      </c>
      <c r="B905" s="1" t="str">
        <f>IF(Сотрудники!B912 &lt;&gt; "",Сотрудники!B912,"")</f>
        <v/>
      </c>
    </row>
    <row r="906" spans="1:2" s="1" customFormat="1" x14ac:dyDescent="0.25">
      <c r="A906" s="2" t="str">
        <f>IF(Сотрудники!A913&lt;&gt;"",Сотрудники!A913,"")</f>
        <v/>
      </c>
      <c r="B906" s="1" t="str">
        <f>IF(Сотрудники!B913 &lt;&gt; "",Сотрудники!B913,"")</f>
        <v/>
      </c>
    </row>
    <row r="907" spans="1:2" s="1" customFormat="1" x14ac:dyDescent="0.25">
      <c r="A907" s="2" t="str">
        <f>IF(Сотрудники!A914&lt;&gt;"",Сотрудники!A914,"")</f>
        <v/>
      </c>
      <c r="B907" s="1" t="str">
        <f>IF(Сотрудники!B914 &lt;&gt; "",Сотрудники!B914,"")</f>
        <v/>
      </c>
    </row>
    <row r="908" spans="1:2" s="1" customFormat="1" x14ac:dyDescent="0.25">
      <c r="A908" s="2" t="str">
        <f>IF(Сотрудники!A915&lt;&gt;"",Сотрудники!A915,"")</f>
        <v/>
      </c>
      <c r="B908" s="1" t="str">
        <f>IF(Сотрудники!B915 &lt;&gt; "",Сотрудники!B915,"")</f>
        <v/>
      </c>
    </row>
    <row r="909" spans="1:2" s="1" customFormat="1" x14ac:dyDescent="0.25">
      <c r="A909" s="2" t="str">
        <f>IF(Сотрудники!A916&lt;&gt;"",Сотрудники!A916,"")</f>
        <v/>
      </c>
      <c r="B909" s="1" t="str">
        <f>IF(Сотрудники!B916 &lt;&gt; "",Сотрудники!B916,"")</f>
        <v/>
      </c>
    </row>
    <row r="910" spans="1:2" s="1" customFormat="1" x14ac:dyDescent="0.25">
      <c r="A910" s="2" t="str">
        <f>IF(Сотрудники!A917&lt;&gt;"",Сотрудники!A917,"")</f>
        <v/>
      </c>
      <c r="B910" s="1" t="str">
        <f>IF(Сотрудники!B917 &lt;&gt; "",Сотрудники!B917,"")</f>
        <v/>
      </c>
    </row>
    <row r="911" spans="1:2" s="1" customFormat="1" x14ac:dyDescent="0.25">
      <c r="A911" s="2" t="str">
        <f>IF(Сотрудники!A918&lt;&gt;"",Сотрудники!A918,"")</f>
        <v/>
      </c>
      <c r="B911" s="1" t="str">
        <f>IF(Сотрудники!B918 &lt;&gt; "",Сотрудники!B918,"")</f>
        <v/>
      </c>
    </row>
    <row r="912" spans="1:2" s="1" customFormat="1" x14ac:dyDescent="0.25">
      <c r="A912" s="2" t="str">
        <f>IF(Сотрудники!A919&lt;&gt;"",Сотрудники!A919,"")</f>
        <v/>
      </c>
      <c r="B912" s="1" t="str">
        <f>IF(Сотрудники!B919 &lt;&gt; "",Сотрудники!B919,"")</f>
        <v/>
      </c>
    </row>
    <row r="913" spans="1:2" s="1" customFormat="1" x14ac:dyDescent="0.25">
      <c r="A913" s="2" t="str">
        <f>IF(Сотрудники!A920&lt;&gt;"",Сотрудники!A920,"")</f>
        <v/>
      </c>
      <c r="B913" s="1" t="str">
        <f>IF(Сотрудники!B920 &lt;&gt; "",Сотрудники!B920,"")</f>
        <v/>
      </c>
    </row>
    <row r="914" spans="1:2" s="1" customFormat="1" x14ac:dyDescent="0.25">
      <c r="A914" s="2" t="str">
        <f>IF(Сотрудники!A921&lt;&gt;"",Сотрудники!A921,"")</f>
        <v/>
      </c>
      <c r="B914" s="1" t="str">
        <f>IF(Сотрудники!B921 &lt;&gt; "",Сотрудники!B921,"")</f>
        <v/>
      </c>
    </row>
    <row r="915" spans="1:2" s="1" customFormat="1" x14ac:dyDescent="0.25">
      <c r="A915" s="2" t="str">
        <f>IF(Сотрудники!A922&lt;&gt;"",Сотрудники!A922,"")</f>
        <v/>
      </c>
      <c r="B915" s="1" t="str">
        <f>IF(Сотрудники!B922 &lt;&gt; "",Сотрудники!B922,"")</f>
        <v/>
      </c>
    </row>
    <row r="916" spans="1:2" s="1" customFormat="1" x14ac:dyDescent="0.25">
      <c r="A916" s="2" t="str">
        <f>IF(Сотрудники!A923&lt;&gt;"",Сотрудники!A923,"")</f>
        <v/>
      </c>
      <c r="B916" s="1" t="str">
        <f>IF(Сотрудники!B923 &lt;&gt; "",Сотрудники!B923,"")</f>
        <v/>
      </c>
    </row>
    <row r="917" spans="1:2" s="1" customFormat="1" x14ac:dyDescent="0.25">
      <c r="A917" s="2" t="str">
        <f>IF(Сотрудники!A924&lt;&gt;"",Сотрудники!A924,"")</f>
        <v/>
      </c>
      <c r="B917" s="1" t="str">
        <f>IF(Сотрудники!B924 &lt;&gt; "",Сотрудники!B924,"")</f>
        <v/>
      </c>
    </row>
    <row r="918" spans="1:2" s="1" customFormat="1" x14ac:dyDescent="0.25">
      <c r="A918" s="2" t="str">
        <f>IF(Сотрудники!A925&lt;&gt;"",Сотрудники!A925,"")</f>
        <v/>
      </c>
      <c r="B918" s="1" t="str">
        <f>IF(Сотрудники!B925 &lt;&gt; "",Сотрудники!B925,"")</f>
        <v/>
      </c>
    </row>
    <row r="919" spans="1:2" s="1" customFormat="1" x14ac:dyDescent="0.25">
      <c r="A919" s="2" t="str">
        <f>IF(Сотрудники!A926&lt;&gt;"",Сотрудники!A926,"")</f>
        <v/>
      </c>
      <c r="B919" s="1" t="str">
        <f>IF(Сотрудники!B926 &lt;&gt; "",Сотрудники!B926,"")</f>
        <v/>
      </c>
    </row>
    <row r="920" spans="1:2" s="1" customFormat="1" x14ac:dyDescent="0.25">
      <c r="A920" s="2" t="str">
        <f>IF(Сотрудники!A927&lt;&gt;"",Сотрудники!A927,"")</f>
        <v/>
      </c>
      <c r="B920" s="1" t="str">
        <f>IF(Сотрудники!B927 &lt;&gt; "",Сотрудники!B927,"")</f>
        <v/>
      </c>
    </row>
    <row r="921" spans="1:2" s="1" customFormat="1" x14ac:dyDescent="0.25">
      <c r="A921" s="2" t="str">
        <f>IF(Сотрудники!A928&lt;&gt;"",Сотрудники!A928,"")</f>
        <v/>
      </c>
      <c r="B921" s="1" t="str">
        <f>IF(Сотрудники!B928 &lt;&gt; "",Сотрудники!B928,"")</f>
        <v/>
      </c>
    </row>
    <row r="922" spans="1:2" s="1" customFormat="1" x14ac:dyDescent="0.25">
      <c r="A922" s="2" t="str">
        <f>IF(Сотрудники!A929&lt;&gt;"",Сотрудники!A929,"")</f>
        <v/>
      </c>
      <c r="B922" s="1" t="str">
        <f>IF(Сотрудники!B929 &lt;&gt; "",Сотрудники!B929,"")</f>
        <v/>
      </c>
    </row>
    <row r="923" spans="1:2" s="1" customFormat="1" x14ac:dyDescent="0.25">
      <c r="A923" s="2" t="str">
        <f>IF(Сотрудники!A930&lt;&gt;"",Сотрудники!A930,"")</f>
        <v/>
      </c>
      <c r="B923" s="1" t="str">
        <f>IF(Сотрудники!B930 &lt;&gt; "",Сотрудники!B930,"")</f>
        <v/>
      </c>
    </row>
    <row r="924" spans="1:2" s="1" customFormat="1" x14ac:dyDescent="0.25">
      <c r="A924" s="2" t="str">
        <f>IF(Сотрудники!A931&lt;&gt;"",Сотрудники!A931,"")</f>
        <v/>
      </c>
      <c r="B924" s="1" t="str">
        <f>IF(Сотрудники!B931 &lt;&gt; "",Сотрудники!B931,"")</f>
        <v/>
      </c>
    </row>
    <row r="925" spans="1:2" s="1" customFormat="1" x14ac:dyDescent="0.25">
      <c r="A925" s="2" t="str">
        <f>IF(Сотрудники!A932&lt;&gt;"",Сотрудники!A932,"")</f>
        <v/>
      </c>
      <c r="B925" s="1" t="str">
        <f>IF(Сотрудники!B932 &lt;&gt; "",Сотрудники!B932,"")</f>
        <v/>
      </c>
    </row>
    <row r="926" spans="1:2" s="1" customFormat="1" x14ac:dyDescent="0.25">
      <c r="A926" s="2" t="str">
        <f>IF(Сотрудники!A933&lt;&gt;"",Сотрудники!A933,"")</f>
        <v/>
      </c>
      <c r="B926" s="1" t="str">
        <f>IF(Сотрудники!B933 &lt;&gt; "",Сотрудники!B933,"")</f>
        <v/>
      </c>
    </row>
    <row r="927" spans="1:2" s="1" customFormat="1" x14ac:dyDescent="0.25">
      <c r="A927" s="2" t="str">
        <f>IF(Сотрудники!A934&lt;&gt;"",Сотрудники!A934,"")</f>
        <v/>
      </c>
      <c r="B927" s="1" t="str">
        <f>IF(Сотрудники!B934 &lt;&gt; "",Сотрудники!B934,"")</f>
        <v/>
      </c>
    </row>
    <row r="928" spans="1:2" s="1" customFormat="1" x14ac:dyDescent="0.25">
      <c r="A928" s="2" t="str">
        <f>IF(Сотрудники!A935&lt;&gt;"",Сотрудники!A935,"")</f>
        <v/>
      </c>
      <c r="B928" s="1" t="str">
        <f>IF(Сотрудники!B935 &lt;&gt; "",Сотрудники!B935,"")</f>
        <v/>
      </c>
    </row>
    <row r="929" spans="1:2" s="1" customFormat="1" x14ac:dyDescent="0.25">
      <c r="A929" s="2" t="str">
        <f>IF(Сотрудники!A936&lt;&gt;"",Сотрудники!A936,"")</f>
        <v/>
      </c>
      <c r="B929" s="1" t="str">
        <f>IF(Сотрудники!B936 &lt;&gt; "",Сотрудники!B936,"")</f>
        <v/>
      </c>
    </row>
    <row r="930" spans="1:2" s="1" customFormat="1" x14ac:dyDescent="0.25">
      <c r="A930" s="2" t="str">
        <f>IF(Сотрудники!A937&lt;&gt;"",Сотрудники!A937,"")</f>
        <v/>
      </c>
      <c r="B930" s="1" t="str">
        <f>IF(Сотрудники!B937 &lt;&gt; "",Сотрудники!B937,"")</f>
        <v/>
      </c>
    </row>
    <row r="931" spans="1:2" s="1" customFormat="1" x14ac:dyDescent="0.25">
      <c r="A931" s="2" t="str">
        <f>IF(Сотрудники!A938&lt;&gt;"",Сотрудники!A938,"")</f>
        <v/>
      </c>
      <c r="B931" s="1" t="str">
        <f>IF(Сотрудники!B938 &lt;&gt; "",Сотрудники!B938,"")</f>
        <v/>
      </c>
    </row>
    <row r="932" spans="1:2" s="1" customFormat="1" x14ac:dyDescent="0.25">
      <c r="A932" s="2" t="str">
        <f>IF(Сотрудники!A939&lt;&gt;"",Сотрудники!A939,"")</f>
        <v/>
      </c>
      <c r="B932" s="1" t="str">
        <f>IF(Сотрудники!B939 &lt;&gt; "",Сотрудники!B939,"")</f>
        <v/>
      </c>
    </row>
    <row r="933" spans="1:2" s="1" customFormat="1" x14ac:dyDescent="0.25">
      <c r="A933" s="2" t="str">
        <f>IF(Сотрудники!A940&lt;&gt;"",Сотрудники!A940,"")</f>
        <v/>
      </c>
      <c r="B933" s="1" t="str">
        <f>IF(Сотрудники!B940 &lt;&gt; "",Сотрудники!B940,"")</f>
        <v/>
      </c>
    </row>
    <row r="934" spans="1:2" s="1" customFormat="1" x14ac:dyDescent="0.25">
      <c r="A934" s="2" t="str">
        <f>IF(Сотрудники!A941&lt;&gt;"",Сотрудники!A941,"")</f>
        <v/>
      </c>
      <c r="B934" s="1" t="str">
        <f>IF(Сотрудники!B941 &lt;&gt; "",Сотрудники!B941,"")</f>
        <v/>
      </c>
    </row>
    <row r="935" spans="1:2" s="1" customFormat="1" x14ac:dyDescent="0.25">
      <c r="A935" s="2" t="str">
        <f>IF(Сотрудники!A942&lt;&gt;"",Сотрудники!A942,"")</f>
        <v/>
      </c>
      <c r="B935" s="1" t="str">
        <f>IF(Сотрудники!B942 &lt;&gt; "",Сотрудники!B942,"")</f>
        <v/>
      </c>
    </row>
    <row r="936" spans="1:2" s="1" customFormat="1" x14ac:dyDescent="0.25">
      <c r="A936" s="2" t="str">
        <f>IF(Сотрудники!A943&lt;&gt;"",Сотрудники!A943,"")</f>
        <v/>
      </c>
      <c r="B936" s="1" t="str">
        <f>IF(Сотрудники!B943 &lt;&gt; "",Сотрудники!B943,"")</f>
        <v/>
      </c>
    </row>
    <row r="937" spans="1:2" s="1" customFormat="1" x14ac:dyDescent="0.25">
      <c r="A937" s="2" t="str">
        <f>IF(Сотрудники!A944&lt;&gt;"",Сотрудники!A944,"")</f>
        <v/>
      </c>
      <c r="B937" s="1" t="str">
        <f>IF(Сотрудники!B944 &lt;&gt; "",Сотрудники!B944,"")</f>
        <v/>
      </c>
    </row>
    <row r="938" spans="1:2" s="1" customFormat="1" x14ac:dyDescent="0.25">
      <c r="A938" s="2" t="str">
        <f>IF(Сотрудники!A945&lt;&gt;"",Сотрудники!A945,"")</f>
        <v/>
      </c>
      <c r="B938" s="1" t="str">
        <f>IF(Сотрудники!B945 &lt;&gt; "",Сотрудники!B945,"")</f>
        <v/>
      </c>
    </row>
    <row r="939" spans="1:2" s="1" customFormat="1" x14ac:dyDescent="0.25">
      <c r="A939" s="2" t="str">
        <f>IF(Сотрудники!A946&lt;&gt;"",Сотрудники!A946,"")</f>
        <v/>
      </c>
      <c r="B939" s="1" t="str">
        <f>IF(Сотрудники!B946 &lt;&gt; "",Сотрудники!B946,"")</f>
        <v/>
      </c>
    </row>
    <row r="940" spans="1:2" s="1" customFormat="1" x14ac:dyDescent="0.25">
      <c r="A940" s="2" t="str">
        <f>IF(Сотрудники!A947&lt;&gt;"",Сотрудники!A947,"")</f>
        <v/>
      </c>
      <c r="B940" s="1" t="str">
        <f>IF(Сотрудники!B947 &lt;&gt; "",Сотрудники!B947,"")</f>
        <v/>
      </c>
    </row>
    <row r="941" spans="1:2" s="1" customFormat="1" x14ac:dyDescent="0.25">
      <c r="A941" s="2" t="str">
        <f>IF(Сотрудники!A948&lt;&gt;"",Сотрудники!A948,"")</f>
        <v/>
      </c>
      <c r="B941" s="1" t="str">
        <f>IF(Сотрудники!B948 &lt;&gt; "",Сотрудники!B948,"")</f>
        <v/>
      </c>
    </row>
    <row r="942" spans="1:2" s="1" customFormat="1" x14ac:dyDescent="0.25">
      <c r="A942" s="2" t="str">
        <f>IF(Сотрудники!A949&lt;&gt;"",Сотрудники!A949,"")</f>
        <v/>
      </c>
      <c r="B942" s="1" t="str">
        <f>IF(Сотрудники!B949 &lt;&gt; "",Сотрудники!B949,"")</f>
        <v/>
      </c>
    </row>
    <row r="943" spans="1:2" s="1" customFormat="1" x14ac:dyDescent="0.25">
      <c r="A943" s="2" t="str">
        <f>IF(Сотрудники!A950&lt;&gt;"",Сотрудники!A950,"")</f>
        <v/>
      </c>
      <c r="B943" s="1" t="str">
        <f>IF(Сотрудники!B950 &lt;&gt; "",Сотрудники!B950,"")</f>
        <v/>
      </c>
    </row>
    <row r="944" spans="1:2" s="1" customFormat="1" x14ac:dyDescent="0.25">
      <c r="A944" s="2" t="str">
        <f>IF(Сотрудники!A951&lt;&gt;"",Сотрудники!A951,"")</f>
        <v/>
      </c>
      <c r="B944" s="1" t="str">
        <f>IF(Сотрудники!B951 &lt;&gt; "",Сотрудники!B951,"")</f>
        <v/>
      </c>
    </row>
    <row r="945" spans="1:2" s="1" customFormat="1" x14ac:dyDescent="0.25">
      <c r="A945" s="2" t="str">
        <f>IF(Сотрудники!A952&lt;&gt;"",Сотрудники!A952,"")</f>
        <v/>
      </c>
      <c r="B945" s="1" t="str">
        <f>IF(Сотрудники!B952 &lt;&gt; "",Сотрудники!B952,"")</f>
        <v/>
      </c>
    </row>
    <row r="946" spans="1:2" s="1" customFormat="1" x14ac:dyDescent="0.25">
      <c r="A946" s="2" t="str">
        <f>IF(Сотрудники!A953&lt;&gt;"",Сотрудники!A953,"")</f>
        <v/>
      </c>
      <c r="B946" s="1" t="str">
        <f>IF(Сотрудники!B953 &lt;&gt; "",Сотрудники!B953,"")</f>
        <v/>
      </c>
    </row>
    <row r="947" spans="1:2" s="1" customFormat="1" x14ac:dyDescent="0.25">
      <c r="A947" s="2" t="str">
        <f>IF(Сотрудники!A954&lt;&gt;"",Сотрудники!A954,"")</f>
        <v/>
      </c>
      <c r="B947" s="1" t="str">
        <f>IF(Сотрудники!B954 &lt;&gt; "",Сотрудники!B954,"")</f>
        <v/>
      </c>
    </row>
    <row r="948" spans="1:2" s="1" customFormat="1" x14ac:dyDescent="0.25">
      <c r="A948" s="2" t="str">
        <f>IF(Сотрудники!A955&lt;&gt;"",Сотрудники!A955,"")</f>
        <v/>
      </c>
      <c r="B948" s="1" t="str">
        <f>IF(Сотрудники!B955 &lt;&gt; "",Сотрудники!B955,"")</f>
        <v/>
      </c>
    </row>
    <row r="949" spans="1:2" s="1" customFormat="1" x14ac:dyDescent="0.25">
      <c r="A949" s="2" t="str">
        <f>IF(Сотрудники!A956&lt;&gt;"",Сотрудники!A956,"")</f>
        <v/>
      </c>
      <c r="B949" s="1" t="str">
        <f>IF(Сотрудники!B956 &lt;&gt; "",Сотрудники!B956,"")</f>
        <v/>
      </c>
    </row>
    <row r="950" spans="1:2" s="1" customFormat="1" x14ac:dyDescent="0.25">
      <c r="A950" s="2" t="str">
        <f>IF(Сотрудники!A957&lt;&gt;"",Сотрудники!A957,"")</f>
        <v/>
      </c>
      <c r="B950" s="1" t="str">
        <f>IF(Сотрудники!B957 &lt;&gt; "",Сотрудники!B957,"")</f>
        <v/>
      </c>
    </row>
    <row r="951" spans="1:2" s="1" customFormat="1" x14ac:dyDescent="0.25">
      <c r="A951" s="2" t="str">
        <f>IF(Сотрудники!A958&lt;&gt;"",Сотрудники!A958,"")</f>
        <v/>
      </c>
      <c r="B951" s="1" t="str">
        <f>IF(Сотрудники!B958 &lt;&gt; "",Сотрудники!B958,"")</f>
        <v/>
      </c>
    </row>
    <row r="952" spans="1:2" s="1" customFormat="1" x14ac:dyDescent="0.25">
      <c r="A952" s="2" t="str">
        <f>IF(Сотрудники!A959&lt;&gt;"",Сотрудники!A959,"")</f>
        <v/>
      </c>
      <c r="B952" s="1" t="str">
        <f>IF(Сотрудники!B959 &lt;&gt; "",Сотрудники!B959,"")</f>
        <v/>
      </c>
    </row>
    <row r="953" spans="1:2" s="1" customFormat="1" x14ac:dyDescent="0.25">
      <c r="A953" s="2" t="str">
        <f>IF(Сотрудники!A960&lt;&gt;"",Сотрудники!A960,"")</f>
        <v/>
      </c>
      <c r="B953" s="1" t="str">
        <f>IF(Сотрудники!B960 &lt;&gt; "",Сотрудники!B960,"")</f>
        <v/>
      </c>
    </row>
    <row r="954" spans="1:2" s="1" customFormat="1" x14ac:dyDescent="0.25">
      <c r="A954" s="2" t="str">
        <f>IF(Сотрудники!A961&lt;&gt;"",Сотрудники!A961,"")</f>
        <v/>
      </c>
      <c r="B954" s="1" t="str">
        <f>IF(Сотрудники!B961 &lt;&gt; "",Сотрудники!B961,"")</f>
        <v/>
      </c>
    </row>
    <row r="955" spans="1:2" s="1" customFormat="1" x14ac:dyDescent="0.25">
      <c r="A955" s="2" t="str">
        <f>IF(Сотрудники!A962&lt;&gt;"",Сотрудники!A962,"")</f>
        <v/>
      </c>
      <c r="B955" s="1" t="str">
        <f>IF(Сотрудники!B962 &lt;&gt; "",Сотрудники!B962,"")</f>
        <v/>
      </c>
    </row>
    <row r="956" spans="1:2" s="1" customFormat="1" x14ac:dyDescent="0.25">
      <c r="A956" s="2" t="str">
        <f>IF(Сотрудники!A963&lt;&gt;"",Сотрудники!A963,"")</f>
        <v/>
      </c>
      <c r="B956" s="1" t="str">
        <f>IF(Сотрудники!B963 &lt;&gt; "",Сотрудники!B963,"")</f>
        <v/>
      </c>
    </row>
    <row r="957" spans="1:2" s="1" customFormat="1" x14ac:dyDescent="0.25">
      <c r="A957" s="2" t="str">
        <f>IF(Сотрудники!A964&lt;&gt;"",Сотрудники!A964,"")</f>
        <v/>
      </c>
      <c r="B957" s="1" t="str">
        <f>IF(Сотрудники!B964 &lt;&gt; "",Сотрудники!B964,"")</f>
        <v/>
      </c>
    </row>
    <row r="958" spans="1:2" s="1" customFormat="1" x14ac:dyDescent="0.25">
      <c r="A958" s="2" t="str">
        <f>IF(Сотрудники!A965&lt;&gt;"",Сотрудники!A965,"")</f>
        <v/>
      </c>
      <c r="B958" s="1" t="str">
        <f>IF(Сотрудники!B965 &lt;&gt; "",Сотрудники!B965,"")</f>
        <v/>
      </c>
    </row>
    <row r="959" spans="1:2" s="1" customFormat="1" x14ac:dyDescent="0.25">
      <c r="A959" s="2" t="str">
        <f>IF(Сотрудники!A966&lt;&gt;"",Сотрудники!A966,"")</f>
        <v/>
      </c>
      <c r="B959" s="1" t="str">
        <f>IF(Сотрудники!B966 &lt;&gt; "",Сотрудники!B966,"")</f>
        <v/>
      </c>
    </row>
    <row r="960" spans="1:2" s="1" customFormat="1" x14ac:dyDescent="0.25">
      <c r="A960" s="2" t="str">
        <f>IF(Сотрудники!A967&lt;&gt;"",Сотрудники!A967,"")</f>
        <v/>
      </c>
      <c r="B960" s="1" t="str">
        <f>IF(Сотрудники!B967 &lt;&gt; "",Сотрудники!B967,"")</f>
        <v/>
      </c>
    </row>
    <row r="961" spans="1:2" s="1" customFormat="1" x14ac:dyDescent="0.25">
      <c r="A961" s="2" t="str">
        <f>IF(Сотрудники!A968&lt;&gt;"",Сотрудники!A968,"")</f>
        <v/>
      </c>
      <c r="B961" s="1" t="str">
        <f>IF(Сотрудники!B968 &lt;&gt; "",Сотрудники!B968,"")</f>
        <v/>
      </c>
    </row>
    <row r="962" spans="1:2" s="1" customFormat="1" x14ac:dyDescent="0.25">
      <c r="A962" s="2" t="str">
        <f>IF(Сотрудники!A969&lt;&gt;"",Сотрудники!A969,"")</f>
        <v/>
      </c>
      <c r="B962" s="1" t="str">
        <f>IF(Сотрудники!B969 &lt;&gt; "",Сотрудники!B969,"")</f>
        <v/>
      </c>
    </row>
    <row r="963" spans="1:2" s="1" customFormat="1" x14ac:dyDescent="0.25">
      <c r="A963" s="2" t="str">
        <f>IF(Сотрудники!A970&lt;&gt;"",Сотрудники!A970,"")</f>
        <v/>
      </c>
      <c r="B963" s="1" t="str">
        <f>IF(Сотрудники!B970 &lt;&gt; "",Сотрудники!B970,"")</f>
        <v/>
      </c>
    </row>
    <row r="964" spans="1:2" s="1" customFormat="1" x14ac:dyDescent="0.25">
      <c r="A964" s="2" t="str">
        <f>IF(Сотрудники!A971&lt;&gt;"",Сотрудники!A971,"")</f>
        <v/>
      </c>
      <c r="B964" s="1" t="str">
        <f>IF(Сотрудники!B971 &lt;&gt; "",Сотрудники!B971,"")</f>
        <v/>
      </c>
    </row>
    <row r="965" spans="1:2" s="1" customFormat="1" x14ac:dyDescent="0.25">
      <c r="A965" s="2" t="str">
        <f>IF(Сотрудники!A972&lt;&gt;"",Сотрудники!A972,"")</f>
        <v/>
      </c>
      <c r="B965" s="1" t="str">
        <f>IF(Сотрудники!B972 &lt;&gt; "",Сотрудники!B972,"")</f>
        <v/>
      </c>
    </row>
    <row r="966" spans="1:2" s="1" customFormat="1" x14ac:dyDescent="0.25">
      <c r="A966" s="2" t="str">
        <f>IF(Сотрудники!A973&lt;&gt;"",Сотрудники!A973,"")</f>
        <v/>
      </c>
      <c r="B966" s="1" t="str">
        <f>IF(Сотрудники!B973 &lt;&gt; "",Сотрудники!B973,"")</f>
        <v/>
      </c>
    </row>
    <row r="967" spans="1:2" s="1" customFormat="1" x14ac:dyDescent="0.25">
      <c r="A967" s="2" t="str">
        <f>IF(Сотрудники!A974&lt;&gt;"",Сотрудники!A974,"")</f>
        <v/>
      </c>
      <c r="B967" s="1" t="str">
        <f>IF(Сотрудники!B974 &lt;&gt; "",Сотрудники!B974,"")</f>
        <v/>
      </c>
    </row>
    <row r="968" spans="1:2" s="1" customFormat="1" x14ac:dyDescent="0.25">
      <c r="A968" s="2" t="str">
        <f>IF(Сотрудники!A975&lt;&gt;"",Сотрудники!A975,"")</f>
        <v/>
      </c>
      <c r="B968" s="1" t="str">
        <f>IF(Сотрудники!B975 &lt;&gt; "",Сотрудники!B975,"")</f>
        <v/>
      </c>
    </row>
    <row r="969" spans="1:2" s="1" customFormat="1" x14ac:dyDescent="0.25">
      <c r="A969" s="2" t="str">
        <f>IF(Сотрудники!A976&lt;&gt;"",Сотрудники!A976,"")</f>
        <v/>
      </c>
      <c r="B969" s="1" t="str">
        <f>IF(Сотрудники!B976 &lt;&gt; "",Сотрудники!B976,"")</f>
        <v/>
      </c>
    </row>
    <row r="970" spans="1:2" s="1" customFormat="1" x14ac:dyDescent="0.25">
      <c r="A970" s="2" t="str">
        <f>IF(Сотрудники!A977&lt;&gt;"",Сотрудники!A977,"")</f>
        <v/>
      </c>
      <c r="B970" s="1" t="str">
        <f>IF(Сотрудники!B977 &lt;&gt; "",Сотрудники!B977,"")</f>
        <v/>
      </c>
    </row>
    <row r="971" spans="1:2" s="1" customFormat="1" x14ac:dyDescent="0.25">
      <c r="A971" s="2" t="str">
        <f>IF(Сотрудники!A978&lt;&gt;"",Сотрудники!A978,"")</f>
        <v/>
      </c>
      <c r="B971" s="1" t="str">
        <f>IF(Сотрудники!B978 &lt;&gt; "",Сотрудники!B978,"")</f>
        <v/>
      </c>
    </row>
    <row r="972" spans="1:2" s="1" customFormat="1" x14ac:dyDescent="0.25">
      <c r="A972" s="2" t="str">
        <f>IF(Сотрудники!A979&lt;&gt;"",Сотрудники!A979,"")</f>
        <v/>
      </c>
      <c r="B972" s="1" t="str">
        <f>IF(Сотрудники!B979 &lt;&gt; "",Сотрудники!B979,"")</f>
        <v/>
      </c>
    </row>
    <row r="973" spans="1:2" s="1" customFormat="1" x14ac:dyDescent="0.25">
      <c r="A973" s="2" t="str">
        <f>IF(Сотрудники!A980&lt;&gt;"",Сотрудники!A980,"")</f>
        <v/>
      </c>
      <c r="B973" s="1" t="str">
        <f>IF(Сотрудники!B980 &lt;&gt; "",Сотрудники!B980,"")</f>
        <v/>
      </c>
    </row>
    <row r="974" spans="1:2" s="1" customFormat="1" x14ac:dyDescent="0.25">
      <c r="A974" s="2" t="str">
        <f>IF(Сотрудники!A981&lt;&gt;"",Сотрудники!A981,"")</f>
        <v/>
      </c>
      <c r="B974" s="1" t="str">
        <f>IF(Сотрудники!B981 &lt;&gt; "",Сотрудники!B981,"")</f>
        <v/>
      </c>
    </row>
    <row r="975" spans="1:2" s="1" customFormat="1" x14ac:dyDescent="0.25">
      <c r="A975" s="2" t="str">
        <f>IF(Сотрудники!A982&lt;&gt;"",Сотрудники!A982,"")</f>
        <v/>
      </c>
      <c r="B975" s="1" t="str">
        <f>IF(Сотрудники!B982 &lt;&gt; "",Сотрудники!B982,"")</f>
        <v/>
      </c>
    </row>
    <row r="976" spans="1:2" s="1" customFormat="1" x14ac:dyDescent="0.25">
      <c r="A976" s="2" t="str">
        <f>IF(Сотрудники!A983&lt;&gt;"",Сотрудники!A983,"")</f>
        <v/>
      </c>
      <c r="B976" s="1" t="str">
        <f>IF(Сотрудники!B983 &lt;&gt; "",Сотрудники!B983,"")</f>
        <v/>
      </c>
    </row>
    <row r="977" spans="1:2" s="1" customFormat="1" x14ac:dyDescent="0.25">
      <c r="A977" s="2" t="str">
        <f>IF(Сотрудники!A984&lt;&gt;"",Сотрудники!A984,"")</f>
        <v/>
      </c>
      <c r="B977" s="1" t="str">
        <f>IF(Сотрудники!B984 &lt;&gt; "",Сотрудники!B984,"")</f>
        <v/>
      </c>
    </row>
    <row r="978" spans="1:2" s="1" customFormat="1" x14ac:dyDescent="0.25">
      <c r="A978" s="2" t="str">
        <f>IF(Сотрудники!A985&lt;&gt;"",Сотрудники!A985,"")</f>
        <v/>
      </c>
      <c r="B978" s="1" t="str">
        <f>IF(Сотрудники!B985 &lt;&gt; "",Сотрудники!B985,"")</f>
        <v/>
      </c>
    </row>
    <row r="979" spans="1:2" s="1" customFormat="1" x14ac:dyDescent="0.25">
      <c r="A979" s="2" t="str">
        <f>IF(Сотрудники!A986&lt;&gt;"",Сотрудники!A986,"")</f>
        <v/>
      </c>
      <c r="B979" s="1" t="str">
        <f>IF(Сотрудники!B986 &lt;&gt; "",Сотрудники!B986,"")</f>
        <v/>
      </c>
    </row>
    <row r="980" spans="1:2" s="1" customFormat="1" x14ac:dyDescent="0.25">
      <c r="A980" s="2" t="str">
        <f>IF(Сотрудники!A987&lt;&gt;"",Сотрудники!A987,"")</f>
        <v/>
      </c>
      <c r="B980" s="1" t="str">
        <f>IF(Сотрудники!B987 &lt;&gt; "",Сотрудники!B987,"")</f>
        <v/>
      </c>
    </row>
    <row r="981" spans="1:2" s="1" customFormat="1" x14ac:dyDescent="0.25">
      <c r="A981" s="2" t="str">
        <f>IF(Сотрудники!A988&lt;&gt;"",Сотрудники!A988,"")</f>
        <v/>
      </c>
      <c r="B981" s="1" t="str">
        <f>IF(Сотрудники!B988 &lt;&gt; "",Сотрудники!B988,"")</f>
        <v/>
      </c>
    </row>
    <row r="982" spans="1:2" s="1" customFormat="1" x14ac:dyDescent="0.25">
      <c r="A982" s="2" t="str">
        <f>IF(Сотрудники!A989&lt;&gt;"",Сотрудники!A989,"")</f>
        <v/>
      </c>
      <c r="B982" s="1" t="str">
        <f>IF(Сотрудники!B989 &lt;&gt; "",Сотрудники!B989,"")</f>
        <v/>
      </c>
    </row>
    <row r="983" spans="1:2" s="1" customFormat="1" x14ac:dyDescent="0.25">
      <c r="A983" s="2" t="str">
        <f>IF(Сотрудники!A990&lt;&gt;"",Сотрудники!A990,"")</f>
        <v/>
      </c>
      <c r="B983" s="1" t="str">
        <f>IF(Сотрудники!B990 &lt;&gt; "",Сотрудники!B990,"")</f>
        <v/>
      </c>
    </row>
    <row r="984" spans="1:2" s="1" customFormat="1" x14ac:dyDescent="0.25">
      <c r="A984" s="2" t="str">
        <f>IF(Сотрудники!A991&lt;&gt;"",Сотрудники!A991,"")</f>
        <v/>
      </c>
      <c r="B984" s="1" t="str">
        <f>IF(Сотрудники!B991 &lt;&gt; "",Сотрудники!B991,"")</f>
        <v/>
      </c>
    </row>
    <row r="985" spans="1:2" s="1" customFormat="1" x14ac:dyDescent="0.25">
      <c r="A985" s="2" t="str">
        <f>IF(Сотрудники!A992&lt;&gt;"",Сотрудники!A992,"")</f>
        <v/>
      </c>
      <c r="B985" s="1" t="str">
        <f>IF(Сотрудники!B992 &lt;&gt; "",Сотрудники!B992,"")</f>
        <v/>
      </c>
    </row>
    <row r="986" spans="1:2" s="1" customFormat="1" x14ac:dyDescent="0.25">
      <c r="A986" s="2" t="str">
        <f>IF(Сотрудники!A993&lt;&gt;"",Сотрудники!A993,"")</f>
        <v/>
      </c>
      <c r="B986" s="1" t="str">
        <f>IF(Сотрудники!B993 &lt;&gt; "",Сотрудники!B993,"")</f>
        <v/>
      </c>
    </row>
    <row r="987" spans="1:2" s="1" customFormat="1" x14ac:dyDescent="0.25">
      <c r="A987" s="2" t="str">
        <f>IF(Сотрудники!A994&lt;&gt;"",Сотрудники!A994,"")</f>
        <v/>
      </c>
      <c r="B987" s="1" t="str">
        <f>IF(Сотрудники!B994 &lt;&gt; "",Сотрудники!B994,"")</f>
        <v/>
      </c>
    </row>
    <row r="988" spans="1:2" s="1" customFormat="1" x14ac:dyDescent="0.25">
      <c r="A988" s="2" t="str">
        <f>IF(Сотрудники!A995&lt;&gt;"",Сотрудники!A995,"")</f>
        <v/>
      </c>
      <c r="B988" s="1" t="str">
        <f>IF(Сотрудники!B995 &lt;&gt; "",Сотрудники!B995,"")</f>
        <v/>
      </c>
    </row>
    <row r="989" spans="1:2" s="1" customFormat="1" x14ac:dyDescent="0.25">
      <c r="A989" s="2" t="str">
        <f>IF(Сотрудники!A996&lt;&gt;"",Сотрудники!A996,"")</f>
        <v/>
      </c>
      <c r="B989" s="1" t="str">
        <f>IF(Сотрудники!B996 &lt;&gt; "",Сотрудники!B996,"")</f>
        <v/>
      </c>
    </row>
    <row r="990" spans="1:2" s="1" customFormat="1" x14ac:dyDescent="0.25">
      <c r="A990" s="2" t="str">
        <f>IF(Сотрудники!A997&lt;&gt;"",Сотрудники!A997,"")</f>
        <v/>
      </c>
      <c r="B990" s="1" t="str">
        <f>IF(Сотрудники!B997 &lt;&gt; "",Сотрудники!B997,"")</f>
        <v/>
      </c>
    </row>
    <row r="991" spans="1:2" s="1" customFormat="1" x14ac:dyDescent="0.25">
      <c r="A991" s="2" t="str">
        <f>IF(Сотрудники!A998&lt;&gt;"",Сотрудники!A998,"")</f>
        <v/>
      </c>
      <c r="B991" s="1" t="str">
        <f>IF(Сотрудники!B998 &lt;&gt; "",Сотрудники!B998,"")</f>
        <v/>
      </c>
    </row>
    <row r="992" spans="1:2" s="1" customFormat="1" x14ac:dyDescent="0.25">
      <c r="A992" s="2" t="str">
        <f>IF(Сотрудники!A999&lt;&gt;"",Сотрудники!A999,"")</f>
        <v/>
      </c>
      <c r="B992" s="1" t="str">
        <f>IF(Сотрудники!B999 &lt;&gt; "",Сотрудники!B999,"")</f>
        <v/>
      </c>
    </row>
    <row r="993" spans="1:2" s="1" customFormat="1" x14ac:dyDescent="0.25">
      <c r="A993" s="2" t="str">
        <f>IF(Сотрудники!A1000&lt;&gt;"",Сотрудники!A1000,"")</f>
        <v/>
      </c>
      <c r="B993" s="1" t="str">
        <f>IF(Сотрудники!B1000 &lt;&gt; "",Сотрудники!B1000,"")</f>
        <v/>
      </c>
    </row>
    <row r="994" spans="1:2" s="1" customFormat="1" x14ac:dyDescent="0.25">
      <c r="A994" s="2" t="str">
        <f>IF(Сотрудники!A1001&lt;&gt;"",Сотрудники!A1001,"")</f>
        <v/>
      </c>
      <c r="B994" s="1" t="str">
        <f>IF(Сотрудники!B1001 &lt;&gt; "",Сотрудники!B1001,"")</f>
        <v/>
      </c>
    </row>
    <row r="995" spans="1:2" s="1" customFormat="1" x14ac:dyDescent="0.25">
      <c r="A995" s="2" t="str">
        <f>IF(Сотрудники!A1002&lt;&gt;"",Сотрудники!A1002,"")</f>
        <v/>
      </c>
      <c r="B995" s="1" t="str">
        <f>IF(Сотрудники!B1002 &lt;&gt; "",Сотрудники!B1002,"")</f>
        <v/>
      </c>
    </row>
    <row r="996" spans="1:2" s="1" customFormat="1" x14ac:dyDescent="0.25">
      <c r="A996" s="2" t="str">
        <f>IF(Сотрудники!A1003&lt;&gt;"",Сотрудники!A1003,"")</f>
        <v/>
      </c>
      <c r="B996" s="1" t="str">
        <f>IF(Сотрудники!B1003 &lt;&gt; "",Сотрудники!B1003,"")</f>
        <v/>
      </c>
    </row>
    <row r="997" spans="1:2" s="1" customFormat="1" x14ac:dyDescent="0.25">
      <c r="A997" s="2" t="str">
        <f>IF(Сотрудники!A1004&lt;&gt;"",Сотрудники!A1004,"")</f>
        <v/>
      </c>
      <c r="B997" s="1" t="str">
        <f>IF(Сотрудники!B1004 &lt;&gt; "",Сотрудники!B1004,"")</f>
        <v/>
      </c>
    </row>
    <row r="998" spans="1:2" s="1" customFormat="1" x14ac:dyDescent="0.25">
      <c r="A998" s="2" t="str">
        <f>IF(Сотрудники!A1005&lt;&gt;"",Сотрудники!A1005,"")</f>
        <v/>
      </c>
      <c r="B998" s="1" t="str">
        <f>IF(Сотрудники!B1005 &lt;&gt; "",Сотрудники!B1005,"")</f>
        <v/>
      </c>
    </row>
    <row r="999" spans="1:2" s="1" customFormat="1" x14ac:dyDescent="0.25">
      <c r="A999" s="2" t="str">
        <f>IF(Сотрудники!A1006&lt;&gt;"",Сотрудники!A1006,"")</f>
        <v/>
      </c>
      <c r="B999" s="1" t="str">
        <f>IF(Сотрудники!B1006 &lt;&gt; "",Сотрудники!B1006,"")</f>
        <v/>
      </c>
    </row>
    <row r="1000" spans="1:2" s="1" customFormat="1" x14ac:dyDescent="0.25">
      <c r="A1000" s="2" t="str">
        <f>IF(Сотрудники!A1007&lt;&gt;"",Сотрудники!A1007,"")</f>
        <v/>
      </c>
      <c r="B1000" s="1" t="str">
        <f>IF(Сотрудники!B1007 &lt;&gt; "",Сотрудники!B1007,"")</f>
        <v/>
      </c>
    </row>
    <row r="1001" spans="1:2" s="1" customFormat="1" x14ac:dyDescent="0.25">
      <c r="A1001" s="2" t="str">
        <f>IF(Сотрудники!A1008&lt;&gt;"",Сотрудники!A1008,"")</f>
        <v/>
      </c>
      <c r="B1001" s="1" t="str">
        <f>IF(Сотрудники!B1008 &lt;&gt; "",Сотрудники!B1008,"")</f>
        <v/>
      </c>
    </row>
    <row r="1002" spans="1:2" s="1" customFormat="1" x14ac:dyDescent="0.25">
      <c r="A1002" s="2" t="str">
        <f>IF(Сотрудники!A1009&lt;&gt;"",Сотрудники!A1009,"")</f>
        <v/>
      </c>
      <c r="B1002" s="1" t="str">
        <f>IF(Сотрудники!B1009 &lt;&gt; "",Сотрудники!B1009,"")</f>
        <v/>
      </c>
    </row>
    <row r="1003" spans="1:2" s="1" customFormat="1" x14ac:dyDescent="0.25">
      <c r="A1003" s="2" t="str">
        <f>IF(Сотрудники!A1010&lt;&gt;"",Сотрудники!A1010,"")</f>
        <v/>
      </c>
      <c r="B1003" s="1" t="str">
        <f>IF(Сотрудники!B1010 &lt;&gt; "",Сотрудники!B1010,"")</f>
        <v/>
      </c>
    </row>
    <row r="1004" spans="1:2" s="1" customFormat="1" x14ac:dyDescent="0.25">
      <c r="A1004" s="2" t="str">
        <f>IF(Сотрудники!A1011&lt;&gt;"",Сотрудники!A1011,"")</f>
        <v/>
      </c>
      <c r="B1004" s="1" t="str">
        <f>IF(Сотрудники!B1011 &lt;&gt; "",Сотрудники!B1011,"")</f>
        <v/>
      </c>
    </row>
    <row r="1005" spans="1:2" s="1" customFormat="1" x14ac:dyDescent="0.25">
      <c r="A1005" s="2" t="str">
        <f>IF(Сотрудники!A1012&lt;&gt;"",Сотрудники!A1012,"")</f>
        <v/>
      </c>
      <c r="B1005" s="1" t="str">
        <f>IF(Сотрудники!B1012 &lt;&gt; "",Сотрудники!B1012,"")</f>
        <v/>
      </c>
    </row>
    <row r="1006" spans="1:2" s="1" customFormat="1" x14ac:dyDescent="0.25">
      <c r="A1006" s="2" t="str">
        <f>IF(Сотрудники!A1013&lt;&gt;"",Сотрудники!A1013,"")</f>
        <v/>
      </c>
      <c r="B1006" s="1" t="str">
        <f>IF(Сотрудники!B1013 &lt;&gt; "",Сотрудники!B1013,"")</f>
        <v/>
      </c>
    </row>
    <row r="1007" spans="1:2" s="1" customFormat="1" x14ac:dyDescent="0.25">
      <c r="A1007" s="2" t="str">
        <f>IF(Сотрудники!A1014&lt;&gt;"",Сотрудники!A1014,"")</f>
        <v/>
      </c>
      <c r="B1007" s="1" t="str">
        <f>IF(Сотрудники!B1014 &lt;&gt; "",Сотрудники!B1014,"")</f>
        <v/>
      </c>
    </row>
    <row r="1008" spans="1:2" s="1" customFormat="1" x14ac:dyDescent="0.25">
      <c r="A1008" s="2" t="str">
        <f>IF(Сотрудники!A1015&lt;&gt;"",Сотрудники!A1015,"")</f>
        <v/>
      </c>
      <c r="B1008" s="1" t="str">
        <f>IF(Сотрудники!B1015 &lt;&gt; "",Сотрудники!B1015,"")</f>
        <v/>
      </c>
    </row>
    <row r="1009" spans="1:2" s="1" customFormat="1" x14ac:dyDescent="0.25">
      <c r="A1009" s="2" t="str">
        <f>IF(Сотрудники!A1016&lt;&gt;"",Сотрудники!A1016,"")</f>
        <v/>
      </c>
      <c r="B1009" s="1" t="str">
        <f>IF(Сотрудники!B1016 &lt;&gt; "",Сотрудники!B1016,"")</f>
        <v/>
      </c>
    </row>
    <row r="1010" spans="1:2" s="1" customFormat="1" x14ac:dyDescent="0.25">
      <c r="A1010" s="2" t="str">
        <f>IF(Сотрудники!A1017&lt;&gt;"",Сотрудники!A1017,"")</f>
        <v/>
      </c>
      <c r="B1010" s="1" t="str">
        <f>IF(Сотрудники!B1017 &lt;&gt; "",Сотрудники!B1017,"")</f>
        <v/>
      </c>
    </row>
    <row r="1011" spans="1:2" s="1" customFormat="1" x14ac:dyDescent="0.25">
      <c r="A1011" s="2" t="str">
        <f>IF(Сотрудники!A1018&lt;&gt;"",Сотрудники!A1018,"")</f>
        <v/>
      </c>
      <c r="B1011" s="1" t="str">
        <f>IF(Сотрудники!B1018 &lt;&gt; "",Сотрудники!B1018,"")</f>
        <v/>
      </c>
    </row>
    <row r="1012" spans="1:2" s="1" customFormat="1" x14ac:dyDescent="0.25">
      <c r="A1012" s="2" t="str">
        <f>IF(Сотрудники!A1019&lt;&gt;"",Сотрудники!A1019,"")</f>
        <v/>
      </c>
      <c r="B1012" s="1" t="str">
        <f>IF(Сотрудники!B1019 &lt;&gt; "",Сотрудники!B1019,"")</f>
        <v/>
      </c>
    </row>
    <row r="1013" spans="1:2" s="1" customFormat="1" x14ac:dyDescent="0.25">
      <c r="A1013" s="2" t="str">
        <f>IF(Сотрудники!A1020&lt;&gt;"",Сотрудники!A1020,"")</f>
        <v/>
      </c>
      <c r="B1013" s="1" t="str">
        <f>IF(Сотрудники!B1020 &lt;&gt; "",Сотрудники!B1020,"")</f>
        <v/>
      </c>
    </row>
    <row r="1014" spans="1:2" s="1" customFormat="1" x14ac:dyDescent="0.25">
      <c r="A1014" s="2" t="str">
        <f>IF(Сотрудники!A1021&lt;&gt;"",Сотрудники!A1021,"")</f>
        <v/>
      </c>
      <c r="B1014" s="1" t="str">
        <f>IF(Сотрудники!B1021 &lt;&gt; "",Сотрудники!B1021,"")</f>
        <v/>
      </c>
    </row>
    <row r="1015" spans="1:2" s="1" customFormat="1" x14ac:dyDescent="0.25">
      <c r="A1015" s="2" t="str">
        <f>IF(Сотрудники!A1022&lt;&gt;"",Сотрудники!A1022,"")</f>
        <v/>
      </c>
      <c r="B1015" s="1" t="str">
        <f>IF(Сотрудники!B1022 &lt;&gt; "",Сотрудники!B1022,"")</f>
        <v/>
      </c>
    </row>
    <row r="1016" spans="1:2" s="1" customFormat="1" x14ac:dyDescent="0.25">
      <c r="A1016" s="2" t="str">
        <f>IF(Сотрудники!A1023&lt;&gt;"",Сотрудники!A1023,"")</f>
        <v/>
      </c>
      <c r="B1016" s="1" t="str">
        <f>IF(Сотрудники!B1023 &lt;&gt; "",Сотрудники!B1023,"")</f>
        <v/>
      </c>
    </row>
    <row r="1017" spans="1:2" s="1" customFormat="1" x14ac:dyDescent="0.25">
      <c r="A1017" s="2" t="str">
        <f>IF(Сотрудники!A1024&lt;&gt;"",Сотрудники!A1024,"")</f>
        <v/>
      </c>
      <c r="B1017" s="1" t="str">
        <f>IF(Сотрудники!B1024 &lt;&gt; "",Сотрудники!B1024,"")</f>
        <v/>
      </c>
    </row>
    <row r="1018" spans="1:2" s="1" customFormat="1" x14ac:dyDescent="0.25">
      <c r="A1018" s="2" t="str">
        <f>IF(Сотрудники!A1025&lt;&gt;"",Сотрудники!A1025,"")</f>
        <v/>
      </c>
      <c r="B1018" s="1" t="str">
        <f>IF(Сотрудники!B1025 &lt;&gt; "",Сотрудники!B1025,"")</f>
        <v/>
      </c>
    </row>
    <row r="1019" spans="1:2" s="1" customFormat="1" x14ac:dyDescent="0.25">
      <c r="A1019" s="2" t="str">
        <f>IF(Сотрудники!A1026&lt;&gt;"",Сотрудники!A1026,"")</f>
        <v/>
      </c>
      <c r="B1019" s="1" t="str">
        <f>IF(Сотрудники!B1026 &lt;&gt; "",Сотрудники!B1026,"")</f>
        <v/>
      </c>
    </row>
    <row r="1020" spans="1:2" s="1" customFormat="1" x14ac:dyDescent="0.25">
      <c r="A1020" s="2" t="str">
        <f>IF(Сотрудники!A1027&lt;&gt;"",Сотрудники!A1027,"")</f>
        <v/>
      </c>
      <c r="B1020" s="1" t="str">
        <f>IF(Сотрудники!B1027 &lt;&gt; "",Сотрудники!B1027,"")</f>
        <v/>
      </c>
    </row>
    <row r="1021" spans="1:2" s="1" customFormat="1" x14ac:dyDescent="0.25">
      <c r="A1021" s="2" t="str">
        <f>IF(Сотрудники!A1028&lt;&gt;"",Сотрудники!A1028,"")</f>
        <v/>
      </c>
      <c r="B1021" s="1" t="str">
        <f>IF(Сотрудники!B1028 &lt;&gt; "",Сотрудники!B1028,"")</f>
        <v/>
      </c>
    </row>
    <row r="1022" spans="1:2" s="1" customFormat="1" x14ac:dyDescent="0.25">
      <c r="A1022" s="2" t="str">
        <f>IF(Сотрудники!A1029&lt;&gt;"",Сотрудники!A1029,"")</f>
        <v/>
      </c>
      <c r="B1022" s="1" t="str">
        <f>IF(Сотрудники!B1029 &lt;&gt; "",Сотрудники!B1029,"")</f>
        <v/>
      </c>
    </row>
    <row r="1023" spans="1:2" s="1" customFormat="1" x14ac:dyDescent="0.25">
      <c r="A1023" s="2" t="str">
        <f>IF(Сотрудники!A1030&lt;&gt;"",Сотрудники!A1030,"")</f>
        <v/>
      </c>
      <c r="B1023" s="1" t="str">
        <f>IF(Сотрудники!B1030 &lt;&gt; "",Сотрудники!B1030,"")</f>
        <v/>
      </c>
    </row>
    <row r="1024" spans="1:2" s="1" customFormat="1" x14ac:dyDescent="0.25">
      <c r="A1024" s="2" t="str">
        <f>IF(Сотрудники!A1031&lt;&gt;"",Сотрудники!A1031,"")</f>
        <v/>
      </c>
      <c r="B1024" s="1" t="str">
        <f>IF(Сотрудники!B1031 &lt;&gt; "",Сотрудники!B1031,"")</f>
        <v/>
      </c>
    </row>
    <row r="1025" spans="1:2" s="1" customFormat="1" x14ac:dyDescent="0.25">
      <c r="A1025" s="2" t="str">
        <f>IF(Сотрудники!A1032&lt;&gt;"",Сотрудники!A1032,"")</f>
        <v/>
      </c>
      <c r="B1025" s="1" t="str">
        <f>IF(Сотрудники!B1032 &lt;&gt; "",Сотрудники!B1032,"")</f>
        <v/>
      </c>
    </row>
    <row r="1026" spans="1:2" s="1" customFormat="1" x14ac:dyDescent="0.25">
      <c r="A1026" s="2" t="str">
        <f>IF(Сотрудники!A1033&lt;&gt;"",Сотрудники!A1033,"")</f>
        <v/>
      </c>
      <c r="B1026" s="1" t="str">
        <f>IF(Сотрудники!B1033 &lt;&gt; "",Сотрудники!B1033,"")</f>
        <v/>
      </c>
    </row>
    <row r="1027" spans="1:2" s="1" customFormat="1" x14ac:dyDescent="0.25">
      <c r="A1027" s="2" t="str">
        <f>IF(Сотрудники!A1034&lt;&gt;"",Сотрудники!A1034,"")</f>
        <v/>
      </c>
      <c r="B1027" s="1" t="str">
        <f>IF(Сотрудники!B1034 &lt;&gt; "",Сотрудники!B1034,"")</f>
        <v/>
      </c>
    </row>
    <row r="1028" spans="1:2" s="1" customFormat="1" x14ac:dyDescent="0.25">
      <c r="A1028" s="2" t="str">
        <f>IF(Сотрудники!A1035&lt;&gt;"",Сотрудники!A1035,"")</f>
        <v/>
      </c>
      <c r="B1028" s="1" t="str">
        <f>IF(Сотрудники!B1035 &lt;&gt; "",Сотрудники!B1035,"")</f>
        <v/>
      </c>
    </row>
    <row r="1029" spans="1:2" s="1" customFormat="1" x14ac:dyDescent="0.25">
      <c r="A1029" s="2" t="str">
        <f>IF(Сотрудники!A1036&lt;&gt;"",Сотрудники!A1036,"")</f>
        <v/>
      </c>
      <c r="B1029" s="1" t="str">
        <f>IF(Сотрудники!B1036 &lt;&gt; "",Сотрудники!B1036,"")</f>
        <v/>
      </c>
    </row>
    <row r="1030" spans="1:2" s="1" customFormat="1" x14ac:dyDescent="0.25">
      <c r="A1030" s="2" t="str">
        <f>IF(Сотрудники!A1037&lt;&gt;"",Сотрудники!A1037,"")</f>
        <v/>
      </c>
      <c r="B1030" s="1" t="str">
        <f>IF(Сотрудники!B1037 &lt;&gt; "",Сотрудники!B1037,"")</f>
        <v/>
      </c>
    </row>
    <row r="1031" spans="1:2" s="1" customFormat="1" x14ac:dyDescent="0.25">
      <c r="A1031" s="2" t="str">
        <f>IF(Сотрудники!A1038&lt;&gt;"",Сотрудники!A1038,"")</f>
        <v/>
      </c>
      <c r="B1031" s="1" t="str">
        <f>IF(Сотрудники!B1038 &lt;&gt; "",Сотрудники!B1038,"")</f>
        <v/>
      </c>
    </row>
    <row r="1032" spans="1:2" s="1" customFormat="1" x14ac:dyDescent="0.25">
      <c r="A1032" s="2" t="str">
        <f>IF(Сотрудники!A1039&lt;&gt;"",Сотрудники!A1039,"")</f>
        <v/>
      </c>
      <c r="B1032" s="1" t="str">
        <f>IF(Сотрудники!B1039 &lt;&gt; "",Сотрудники!B1039,"")</f>
        <v/>
      </c>
    </row>
    <row r="1033" spans="1:2" s="1" customFormat="1" x14ac:dyDescent="0.25">
      <c r="A1033" s="2" t="str">
        <f>IF(Сотрудники!A1040&lt;&gt;"",Сотрудники!A1040,"")</f>
        <v/>
      </c>
      <c r="B1033" s="1" t="str">
        <f>IF(Сотрудники!B1040 &lt;&gt; "",Сотрудники!B1040,"")</f>
        <v/>
      </c>
    </row>
    <row r="1034" spans="1:2" s="1" customFormat="1" x14ac:dyDescent="0.25">
      <c r="A1034" s="2" t="str">
        <f>IF(Сотрудники!A1041&lt;&gt;"",Сотрудники!A1041,"")</f>
        <v/>
      </c>
      <c r="B1034" s="1" t="str">
        <f>IF(Сотрудники!B1041 &lt;&gt; "",Сотрудники!B1041,"")</f>
        <v/>
      </c>
    </row>
    <row r="1035" spans="1:2" s="1" customFormat="1" x14ac:dyDescent="0.25">
      <c r="A1035" s="2" t="str">
        <f>IF(Сотрудники!A1042&lt;&gt;"",Сотрудники!A1042,"")</f>
        <v/>
      </c>
      <c r="B1035" s="1" t="str">
        <f>IF(Сотрудники!B1042 &lt;&gt; "",Сотрудники!B1042,"")</f>
        <v/>
      </c>
    </row>
    <row r="1036" spans="1:2" s="1" customFormat="1" x14ac:dyDescent="0.25">
      <c r="A1036" s="2" t="str">
        <f>IF(Сотрудники!A1043&lt;&gt;"",Сотрудники!A1043,"")</f>
        <v/>
      </c>
      <c r="B1036" s="1" t="str">
        <f>IF(Сотрудники!B1043 &lt;&gt; "",Сотрудники!B1043,"")</f>
        <v/>
      </c>
    </row>
    <row r="1037" spans="1:2" s="1" customFormat="1" x14ac:dyDescent="0.25">
      <c r="A1037" s="2" t="str">
        <f>IF(Сотрудники!A1044&lt;&gt;"",Сотрудники!A1044,"")</f>
        <v/>
      </c>
      <c r="B1037" s="1" t="str">
        <f>IF(Сотрудники!B1044 &lt;&gt; "",Сотрудники!B1044,"")</f>
        <v/>
      </c>
    </row>
    <row r="1038" spans="1:2" s="1" customFormat="1" x14ac:dyDescent="0.25">
      <c r="A1038" s="2" t="str">
        <f>IF(Сотрудники!A1045&lt;&gt;"",Сотрудники!A1045,"")</f>
        <v/>
      </c>
      <c r="B1038" s="1" t="str">
        <f>IF(Сотрудники!B1045 &lt;&gt; "",Сотрудники!B1045,"")</f>
        <v/>
      </c>
    </row>
    <row r="1039" spans="1:2" s="1" customFormat="1" x14ac:dyDescent="0.25">
      <c r="A1039" s="2" t="str">
        <f>IF(Сотрудники!A1046&lt;&gt;"",Сотрудники!A1046,"")</f>
        <v/>
      </c>
      <c r="B1039" s="1" t="str">
        <f>IF(Сотрудники!B1046 &lt;&gt; "",Сотрудники!B1046,"")</f>
        <v/>
      </c>
    </row>
    <row r="1040" spans="1:2" s="1" customFormat="1" x14ac:dyDescent="0.25">
      <c r="A1040" s="2" t="str">
        <f>IF(Сотрудники!A1047&lt;&gt;"",Сотрудники!A1047,"")</f>
        <v/>
      </c>
      <c r="B1040" s="1" t="str">
        <f>IF(Сотрудники!B1047 &lt;&gt; "",Сотрудники!B1047,"")</f>
        <v/>
      </c>
    </row>
    <row r="1041" spans="1:2" s="1" customFormat="1" x14ac:dyDescent="0.25">
      <c r="A1041" s="2" t="str">
        <f>IF(Сотрудники!A1048&lt;&gt;"",Сотрудники!A1048,"")</f>
        <v/>
      </c>
      <c r="B1041" s="1" t="str">
        <f>IF(Сотрудники!B1048 &lt;&gt; "",Сотрудники!B1048,"")</f>
        <v/>
      </c>
    </row>
    <row r="1042" spans="1:2" s="1" customFormat="1" x14ac:dyDescent="0.25">
      <c r="A1042" s="2" t="str">
        <f>IF(Сотрудники!A1049&lt;&gt;"",Сотрудники!A1049,"")</f>
        <v/>
      </c>
      <c r="B1042" s="1" t="str">
        <f>IF(Сотрудники!B1049 &lt;&gt; "",Сотрудники!B1049,"")</f>
        <v/>
      </c>
    </row>
    <row r="1043" spans="1:2" s="1" customFormat="1" x14ac:dyDescent="0.25">
      <c r="A1043" s="2" t="str">
        <f>IF(Сотрудники!A1050&lt;&gt;"",Сотрудники!A1050,"")</f>
        <v/>
      </c>
      <c r="B1043" s="1" t="str">
        <f>IF(Сотрудники!B1050 &lt;&gt; "",Сотрудники!B1050,"")</f>
        <v/>
      </c>
    </row>
    <row r="1044" spans="1:2" s="1" customFormat="1" x14ac:dyDescent="0.25">
      <c r="A1044" s="2" t="str">
        <f>IF(Сотрудники!A1051&lt;&gt;"",Сотрудники!A1051,"")</f>
        <v/>
      </c>
      <c r="B1044" s="1" t="str">
        <f>IF(Сотрудники!B1051 &lt;&gt; "",Сотрудники!B1051,"")</f>
        <v/>
      </c>
    </row>
    <row r="1045" spans="1:2" s="1" customFormat="1" x14ac:dyDescent="0.25">
      <c r="A1045" s="2" t="str">
        <f>IF(Сотрудники!A1052&lt;&gt;"",Сотрудники!A1052,"")</f>
        <v/>
      </c>
      <c r="B1045" s="1" t="str">
        <f>IF(Сотрудники!B1052 &lt;&gt; "",Сотрудники!B1052,"")</f>
        <v/>
      </c>
    </row>
    <row r="1046" spans="1:2" s="1" customFormat="1" x14ac:dyDescent="0.25">
      <c r="A1046" s="2" t="str">
        <f>IF(Сотрудники!A1053&lt;&gt;"",Сотрудники!A1053,"")</f>
        <v/>
      </c>
      <c r="B1046" s="1" t="str">
        <f>IF(Сотрудники!B1053 &lt;&gt; "",Сотрудники!B1053,"")</f>
        <v/>
      </c>
    </row>
    <row r="1047" spans="1:2" s="1" customFormat="1" x14ac:dyDescent="0.25">
      <c r="A1047" s="2" t="str">
        <f>IF(Сотрудники!A1054&lt;&gt;"",Сотрудники!A1054,"")</f>
        <v/>
      </c>
      <c r="B1047" s="1" t="str">
        <f>IF(Сотрудники!B1054 &lt;&gt; "",Сотрудники!B1054,"")</f>
        <v/>
      </c>
    </row>
    <row r="1048" spans="1:2" s="1" customFormat="1" x14ac:dyDescent="0.25">
      <c r="A1048" s="2" t="str">
        <f>IF(Сотрудники!A1055&lt;&gt;"",Сотрудники!A1055,"")</f>
        <v/>
      </c>
      <c r="B1048" s="1" t="str">
        <f>IF(Сотрудники!B1055 &lt;&gt; "",Сотрудники!B1055,"")</f>
        <v/>
      </c>
    </row>
    <row r="1049" spans="1:2" s="1" customFormat="1" x14ac:dyDescent="0.25">
      <c r="A1049" s="2" t="str">
        <f>IF(Сотрудники!A1056&lt;&gt;"",Сотрудники!A1056,"")</f>
        <v/>
      </c>
      <c r="B1049" s="1" t="str">
        <f>IF(Сотрудники!B1056 &lt;&gt; "",Сотрудники!B1056,"")</f>
        <v/>
      </c>
    </row>
    <row r="1050" spans="1:2" s="1" customFormat="1" x14ac:dyDescent="0.25">
      <c r="A1050" s="2" t="str">
        <f>IF(Сотрудники!A1057&lt;&gt;"",Сотрудники!A1057,"")</f>
        <v/>
      </c>
      <c r="B1050" s="1" t="str">
        <f>IF(Сотрудники!B1057 &lt;&gt; "",Сотрудники!B1057,"")</f>
        <v/>
      </c>
    </row>
    <row r="1051" spans="1:2" s="1" customFormat="1" x14ac:dyDescent="0.25">
      <c r="A1051" s="2" t="str">
        <f>IF(Сотрудники!A1058&lt;&gt;"",Сотрудники!A1058,"")</f>
        <v/>
      </c>
      <c r="B1051" s="1" t="str">
        <f>IF(Сотрудники!B1058 &lt;&gt; "",Сотрудники!B1058,"")</f>
        <v/>
      </c>
    </row>
    <row r="1052" spans="1:2" s="1" customFormat="1" x14ac:dyDescent="0.25">
      <c r="A1052" s="2" t="str">
        <f>IF(Сотрудники!A1059&lt;&gt;"",Сотрудники!A1059,"")</f>
        <v/>
      </c>
      <c r="B1052" s="1" t="str">
        <f>IF(Сотрудники!B1059 &lt;&gt; "",Сотрудники!B1059,"")</f>
        <v/>
      </c>
    </row>
    <row r="1053" spans="1:2" s="1" customFormat="1" x14ac:dyDescent="0.25">
      <c r="A1053" s="2" t="str">
        <f>IF(Сотрудники!A1060&lt;&gt;"",Сотрудники!A1060,"")</f>
        <v/>
      </c>
      <c r="B1053" s="1" t="str">
        <f>IF(Сотрудники!B1060 &lt;&gt; "",Сотрудники!B1060,"")</f>
        <v/>
      </c>
    </row>
    <row r="1054" spans="1:2" s="1" customFormat="1" x14ac:dyDescent="0.25">
      <c r="A1054" s="2" t="str">
        <f>IF(Сотрудники!A1061&lt;&gt;"",Сотрудники!A1061,"")</f>
        <v/>
      </c>
      <c r="B1054" s="1" t="str">
        <f>IF(Сотрудники!B1061 &lt;&gt; "",Сотрудники!B1061,"")</f>
        <v/>
      </c>
    </row>
    <row r="1055" spans="1:2" s="1" customFormat="1" x14ac:dyDescent="0.25">
      <c r="A1055" s="2" t="str">
        <f>IF(Сотрудники!A1062&lt;&gt;"",Сотрудники!A1062,"")</f>
        <v/>
      </c>
      <c r="B1055" s="1" t="str">
        <f>IF(Сотрудники!B1062 &lt;&gt; "",Сотрудники!B1062,"")</f>
        <v/>
      </c>
    </row>
    <row r="1056" spans="1:2" s="1" customFormat="1" x14ac:dyDescent="0.25">
      <c r="A1056" s="2" t="str">
        <f>IF(Сотрудники!A1063&lt;&gt;"",Сотрудники!A1063,"")</f>
        <v/>
      </c>
      <c r="B1056" s="1" t="str">
        <f>IF(Сотрудники!B1063 &lt;&gt; "",Сотрудники!B1063,"")</f>
        <v/>
      </c>
    </row>
    <row r="1057" spans="1:2" s="1" customFormat="1" x14ac:dyDescent="0.25">
      <c r="A1057" s="2" t="str">
        <f>IF(Сотрудники!A1064&lt;&gt;"",Сотрудники!A1064,"")</f>
        <v/>
      </c>
      <c r="B1057" s="1" t="str">
        <f>IF(Сотрудники!B1064 &lt;&gt; "",Сотрудники!B1064,"")</f>
        <v/>
      </c>
    </row>
    <row r="1058" spans="1:2" s="1" customFormat="1" x14ac:dyDescent="0.25">
      <c r="A1058" s="2" t="str">
        <f>IF(Сотрудники!A1065&lt;&gt;"",Сотрудники!A1065,"")</f>
        <v/>
      </c>
      <c r="B1058" s="1" t="str">
        <f>IF(Сотрудники!B1065 &lt;&gt; "",Сотрудники!B1065,"")</f>
        <v/>
      </c>
    </row>
    <row r="1059" spans="1:2" s="1" customFormat="1" x14ac:dyDescent="0.25">
      <c r="A1059" s="2" t="str">
        <f>IF(Сотрудники!A1066&lt;&gt;"",Сотрудники!A1066,"")</f>
        <v/>
      </c>
      <c r="B1059" s="1" t="str">
        <f>IF(Сотрудники!B1066 &lt;&gt; "",Сотрудники!B1066,"")</f>
        <v/>
      </c>
    </row>
    <row r="1060" spans="1:2" s="1" customFormat="1" x14ac:dyDescent="0.25">
      <c r="A1060" s="2" t="str">
        <f>IF(Сотрудники!A1067&lt;&gt;"",Сотрудники!A1067,"")</f>
        <v/>
      </c>
      <c r="B1060" s="1" t="str">
        <f>IF(Сотрудники!B1067 &lt;&gt; "",Сотрудники!B1067,"")</f>
        <v/>
      </c>
    </row>
    <row r="1061" spans="1:2" s="1" customFormat="1" x14ac:dyDescent="0.25">
      <c r="A1061" s="2" t="str">
        <f>IF(Сотрудники!A1068&lt;&gt;"",Сотрудники!A1068,"")</f>
        <v/>
      </c>
      <c r="B1061" s="1" t="str">
        <f>IF(Сотрудники!B1068 &lt;&gt; "",Сотрудники!B1068,"")</f>
        <v/>
      </c>
    </row>
    <row r="1062" spans="1:2" s="1" customFormat="1" x14ac:dyDescent="0.25">
      <c r="A1062" s="2" t="str">
        <f>IF(Сотрудники!A1069&lt;&gt;"",Сотрудники!A1069,"")</f>
        <v/>
      </c>
      <c r="B1062" s="1" t="str">
        <f>IF(Сотрудники!B1069 &lt;&gt; "",Сотрудники!B1069,"")</f>
        <v/>
      </c>
    </row>
    <row r="1063" spans="1:2" s="1" customFormat="1" x14ac:dyDescent="0.25">
      <c r="A1063" s="2" t="str">
        <f>IF(Сотрудники!A1070&lt;&gt;"",Сотрудники!A1070,"")</f>
        <v/>
      </c>
      <c r="B1063" s="1" t="str">
        <f>IF(Сотрудники!B1070 &lt;&gt; "",Сотрудники!B1070,"")</f>
        <v/>
      </c>
    </row>
    <row r="1064" spans="1:2" s="1" customFormat="1" x14ac:dyDescent="0.25">
      <c r="A1064" s="2" t="str">
        <f>IF(Сотрудники!A1071&lt;&gt;"",Сотрудники!A1071,"")</f>
        <v/>
      </c>
      <c r="B1064" s="1" t="str">
        <f>IF(Сотрудники!B1071 &lt;&gt; "",Сотрудники!B1071,"")</f>
        <v/>
      </c>
    </row>
    <row r="1065" spans="1:2" s="1" customFormat="1" x14ac:dyDescent="0.25">
      <c r="A1065" s="2" t="str">
        <f>IF(Сотрудники!A1072&lt;&gt;"",Сотрудники!A1072,"")</f>
        <v/>
      </c>
      <c r="B1065" s="1" t="str">
        <f>IF(Сотрудники!B1072 &lt;&gt; "",Сотрудники!B1072,"")</f>
        <v/>
      </c>
    </row>
    <row r="1066" spans="1:2" s="1" customFormat="1" x14ac:dyDescent="0.25">
      <c r="A1066" s="2" t="str">
        <f>IF(Сотрудники!A1073&lt;&gt;"",Сотрудники!A1073,"")</f>
        <v/>
      </c>
      <c r="B1066" s="1" t="str">
        <f>IF(Сотрудники!B1073 &lt;&gt; "",Сотрудники!B1073,"")</f>
        <v/>
      </c>
    </row>
    <row r="1067" spans="1:2" s="1" customFormat="1" x14ac:dyDescent="0.25">
      <c r="A1067" s="2" t="str">
        <f>IF(Сотрудники!A1074&lt;&gt;"",Сотрудники!A1074,"")</f>
        <v/>
      </c>
      <c r="B1067" s="1" t="str">
        <f>IF(Сотрудники!B1074 &lt;&gt; "",Сотрудники!B1074,"")</f>
        <v/>
      </c>
    </row>
    <row r="1068" spans="1:2" s="1" customFormat="1" x14ac:dyDescent="0.25">
      <c r="A1068" s="2" t="str">
        <f>IF(Сотрудники!A1075&lt;&gt;"",Сотрудники!A1075,"")</f>
        <v/>
      </c>
      <c r="B1068" s="1" t="str">
        <f>IF(Сотрудники!B1075 &lt;&gt; "",Сотрудники!B1075,"")</f>
        <v/>
      </c>
    </row>
    <row r="1069" spans="1:2" s="1" customFormat="1" x14ac:dyDescent="0.25">
      <c r="A1069" s="2" t="str">
        <f>IF(Сотрудники!A1076&lt;&gt;"",Сотрудники!A1076,"")</f>
        <v/>
      </c>
      <c r="B1069" s="1" t="str">
        <f>IF(Сотрудники!B1076 &lt;&gt; "",Сотрудники!B1076,"")</f>
        <v/>
      </c>
    </row>
    <row r="1070" spans="1:2" s="1" customFormat="1" x14ac:dyDescent="0.25">
      <c r="A1070" s="2" t="str">
        <f>IF(Сотрудники!A1077&lt;&gt;"",Сотрудники!A1077,"")</f>
        <v/>
      </c>
      <c r="B1070" s="1" t="str">
        <f>IF(Сотрудники!B1077 &lt;&gt; "",Сотрудники!B1077,"")</f>
        <v/>
      </c>
    </row>
    <row r="1071" spans="1:2" s="1" customFormat="1" x14ac:dyDescent="0.25">
      <c r="A1071" s="2" t="str">
        <f>IF(Сотрудники!A1078&lt;&gt;"",Сотрудники!A1078,"")</f>
        <v/>
      </c>
      <c r="B1071" s="1" t="str">
        <f>IF(Сотрудники!B1078 &lt;&gt; "",Сотрудники!B1078,"")</f>
        <v/>
      </c>
    </row>
    <row r="1072" spans="1:2" s="1" customFormat="1" x14ac:dyDescent="0.25">
      <c r="A1072" s="2" t="str">
        <f>IF(Сотрудники!A1079&lt;&gt;"",Сотрудники!A1079,"")</f>
        <v/>
      </c>
      <c r="B1072" s="1" t="str">
        <f>IF(Сотрудники!B1079 &lt;&gt; "",Сотрудники!B1079,"")</f>
        <v/>
      </c>
    </row>
    <row r="1073" spans="1:2" s="1" customFormat="1" x14ac:dyDescent="0.25">
      <c r="A1073" s="2" t="str">
        <f>IF(Сотрудники!A1080&lt;&gt;"",Сотрудники!A1080,"")</f>
        <v/>
      </c>
      <c r="B1073" s="1" t="str">
        <f>IF(Сотрудники!B1080 &lt;&gt; "",Сотрудники!B1080,"")</f>
        <v/>
      </c>
    </row>
    <row r="1074" spans="1:2" s="1" customFormat="1" x14ac:dyDescent="0.25">
      <c r="A1074" s="2" t="str">
        <f>IF(Сотрудники!A1081&lt;&gt;"",Сотрудники!A1081,"")</f>
        <v/>
      </c>
      <c r="B1074" s="1" t="str">
        <f>IF(Сотрудники!B1081 &lt;&gt; "",Сотрудники!B1081,"")</f>
        <v/>
      </c>
    </row>
    <row r="1075" spans="1:2" s="1" customFormat="1" x14ac:dyDescent="0.25">
      <c r="A1075" s="2" t="str">
        <f>IF(Сотрудники!A1082&lt;&gt;"",Сотрудники!A1082,"")</f>
        <v/>
      </c>
      <c r="B1075" s="1" t="str">
        <f>IF(Сотрудники!B1082 &lt;&gt; "",Сотрудники!B1082,"")</f>
        <v/>
      </c>
    </row>
    <row r="1076" spans="1:2" s="1" customFormat="1" x14ac:dyDescent="0.25">
      <c r="A1076" s="2" t="str">
        <f>IF(Сотрудники!A1083&lt;&gt;"",Сотрудники!A1083,"")</f>
        <v/>
      </c>
      <c r="B1076" s="1" t="str">
        <f>IF(Сотрудники!B1083 &lt;&gt; "",Сотрудники!B1083,"")</f>
        <v/>
      </c>
    </row>
    <row r="1077" spans="1:2" s="1" customFormat="1" x14ac:dyDescent="0.25">
      <c r="A1077" s="2" t="str">
        <f>IF(Сотрудники!A1084&lt;&gt;"",Сотрудники!A1084,"")</f>
        <v/>
      </c>
      <c r="B1077" s="1" t="str">
        <f>IF(Сотрудники!B1084 &lt;&gt; "",Сотрудники!B1084,"")</f>
        <v/>
      </c>
    </row>
    <row r="1078" spans="1:2" s="1" customFormat="1" x14ac:dyDescent="0.25">
      <c r="A1078" s="2" t="str">
        <f>IF(Сотрудники!A1085&lt;&gt;"",Сотрудники!A1085,"")</f>
        <v/>
      </c>
      <c r="B1078" s="1" t="str">
        <f>IF(Сотрудники!B1085 &lt;&gt; "",Сотрудники!B1085,"")</f>
        <v/>
      </c>
    </row>
    <row r="1079" spans="1:2" s="1" customFormat="1" x14ac:dyDescent="0.25">
      <c r="A1079" s="2" t="str">
        <f>IF(Сотрудники!A1086&lt;&gt;"",Сотрудники!A1086,"")</f>
        <v/>
      </c>
      <c r="B1079" s="1" t="str">
        <f>IF(Сотрудники!B1086 &lt;&gt; "",Сотрудники!B1086,"")</f>
        <v/>
      </c>
    </row>
    <row r="1080" spans="1:2" s="1" customFormat="1" x14ac:dyDescent="0.25">
      <c r="A1080" s="2" t="str">
        <f>IF(Сотрудники!A1087&lt;&gt;"",Сотрудники!A1087,"")</f>
        <v/>
      </c>
      <c r="B1080" s="1" t="str">
        <f>IF(Сотрудники!B1087 &lt;&gt; "",Сотрудники!B1087,"")</f>
        <v/>
      </c>
    </row>
    <row r="1081" spans="1:2" s="1" customFormat="1" x14ac:dyDescent="0.25">
      <c r="A1081" s="2" t="str">
        <f>IF(Сотрудники!A1088&lt;&gt;"",Сотрудники!A1088,"")</f>
        <v/>
      </c>
      <c r="B1081" s="1" t="str">
        <f>IF(Сотрудники!B1088 &lt;&gt; "",Сотрудники!B1088,"")</f>
        <v/>
      </c>
    </row>
    <row r="1082" spans="1:2" s="1" customFormat="1" x14ac:dyDescent="0.25">
      <c r="A1082" s="2" t="str">
        <f>IF(Сотрудники!A1089&lt;&gt;"",Сотрудники!A1089,"")</f>
        <v/>
      </c>
      <c r="B1082" s="1" t="str">
        <f>IF(Сотрудники!B1089 &lt;&gt; "",Сотрудники!B1089,"")</f>
        <v/>
      </c>
    </row>
    <row r="1083" spans="1:2" s="1" customFormat="1" x14ac:dyDescent="0.25">
      <c r="A1083" s="2" t="str">
        <f>IF(Сотрудники!A1090&lt;&gt;"",Сотрудники!A1090,"")</f>
        <v/>
      </c>
      <c r="B1083" s="1" t="str">
        <f>IF(Сотрудники!B1090 &lt;&gt; "",Сотрудники!B1090,"")</f>
        <v/>
      </c>
    </row>
    <row r="1084" spans="1:2" s="1" customFormat="1" x14ac:dyDescent="0.25">
      <c r="A1084" s="2" t="str">
        <f>IF(Сотрудники!A1091&lt;&gt;"",Сотрудники!A1091,"")</f>
        <v/>
      </c>
      <c r="B1084" s="1" t="str">
        <f>IF(Сотрудники!B1091 &lt;&gt; "",Сотрудники!B1091,"")</f>
        <v/>
      </c>
    </row>
    <row r="1085" spans="1:2" s="1" customFormat="1" x14ac:dyDescent="0.25">
      <c r="A1085" s="2" t="str">
        <f>IF(Сотрудники!A1092&lt;&gt;"",Сотрудники!A1092,"")</f>
        <v/>
      </c>
      <c r="B1085" s="1" t="str">
        <f>IF(Сотрудники!B1092 &lt;&gt; "",Сотрудники!B1092,"")</f>
        <v/>
      </c>
    </row>
    <row r="1086" spans="1:2" s="1" customFormat="1" x14ac:dyDescent="0.25">
      <c r="A1086" s="2" t="str">
        <f>IF(Сотрудники!A1093&lt;&gt;"",Сотрудники!A1093,"")</f>
        <v/>
      </c>
      <c r="B1086" s="1" t="str">
        <f>IF(Сотрудники!B1093 &lt;&gt; "",Сотрудники!B1093,"")</f>
        <v/>
      </c>
    </row>
    <row r="1087" spans="1:2" s="1" customFormat="1" x14ac:dyDescent="0.25">
      <c r="A1087" s="2" t="str">
        <f>IF(Сотрудники!A1094&lt;&gt;"",Сотрудники!A1094,"")</f>
        <v/>
      </c>
      <c r="B1087" s="1" t="str">
        <f>IF(Сотрудники!B1094 &lt;&gt; "",Сотрудники!B1094,"")</f>
        <v/>
      </c>
    </row>
    <row r="1088" spans="1:2" s="1" customFormat="1" x14ac:dyDescent="0.25">
      <c r="A1088" s="2" t="str">
        <f>IF(Сотрудники!A1095&lt;&gt;"",Сотрудники!A1095,"")</f>
        <v/>
      </c>
      <c r="B1088" s="1" t="str">
        <f>IF(Сотрудники!B1095 &lt;&gt; "",Сотрудники!B1095,"")</f>
        <v/>
      </c>
    </row>
    <row r="1089" spans="1:2" s="1" customFormat="1" x14ac:dyDescent="0.25">
      <c r="A1089" s="2" t="str">
        <f>IF(Сотрудники!A1096&lt;&gt;"",Сотрудники!A1096,"")</f>
        <v/>
      </c>
      <c r="B1089" s="1" t="str">
        <f>IF(Сотрудники!B1096 &lt;&gt; "",Сотрудники!B1096,"")</f>
        <v/>
      </c>
    </row>
    <row r="1090" spans="1:2" s="1" customFormat="1" x14ac:dyDescent="0.25">
      <c r="A1090" s="2" t="str">
        <f>IF(Сотрудники!A1097&lt;&gt;"",Сотрудники!A1097,"")</f>
        <v/>
      </c>
      <c r="B1090" s="1" t="str">
        <f>IF(Сотрудники!B1097 &lt;&gt; "",Сотрудники!B1097,"")</f>
        <v/>
      </c>
    </row>
    <row r="1091" spans="1:2" s="1" customFormat="1" x14ac:dyDescent="0.25">
      <c r="A1091" s="2" t="str">
        <f>IF(Сотрудники!A1098&lt;&gt;"",Сотрудники!A1098,"")</f>
        <v/>
      </c>
      <c r="B1091" s="1" t="str">
        <f>IF(Сотрудники!B1098 &lt;&gt; "",Сотрудники!B1098,"")</f>
        <v/>
      </c>
    </row>
    <row r="1092" spans="1:2" s="1" customFormat="1" x14ac:dyDescent="0.25">
      <c r="A1092" s="2" t="str">
        <f>IF(Сотрудники!A1099&lt;&gt;"",Сотрудники!A1099,"")</f>
        <v/>
      </c>
      <c r="B1092" s="1" t="str">
        <f>IF(Сотрудники!B1099 &lt;&gt; "",Сотрудники!B1099,"")</f>
        <v/>
      </c>
    </row>
    <row r="1093" spans="1:2" s="1" customFormat="1" x14ac:dyDescent="0.25">
      <c r="A1093" s="2" t="str">
        <f>IF(Сотрудники!A1100&lt;&gt;"",Сотрудники!A1100,"")</f>
        <v/>
      </c>
      <c r="B1093" s="1" t="str">
        <f>IF(Сотрудники!B1100 &lt;&gt; "",Сотрудники!B1100,"")</f>
        <v/>
      </c>
    </row>
    <row r="1094" spans="1:2" s="1" customFormat="1" x14ac:dyDescent="0.25">
      <c r="A1094" s="2" t="str">
        <f>IF(Сотрудники!A1101&lt;&gt;"",Сотрудники!A1101,"")</f>
        <v/>
      </c>
      <c r="B1094" s="1" t="str">
        <f>IF(Сотрудники!B1101 &lt;&gt; "",Сотрудники!B1101,"")</f>
        <v/>
      </c>
    </row>
    <row r="1095" spans="1:2" s="1" customFormat="1" x14ac:dyDescent="0.25">
      <c r="A1095" s="2" t="str">
        <f>IF(Сотрудники!A1102&lt;&gt;"",Сотрудники!A1102,"")</f>
        <v/>
      </c>
      <c r="B1095" s="1" t="str">
        <f>IF(Сотрудники!B1102 &lt;&gt; "",Сотрудники!B1102,"")</f>
        <v/>
      </c>
    </row>
    <row r="1096" spans="1:2" s="1" customFormat="1" x14ac:dyDescent="0.25">
      <c r="A1096" s="2" t="str">
        <f>IF(Сотрудники!A1103&lt;&gt;"",Сотрудники!A1103,"")</f>
        <v/>
      </c>
      <c r="B1096" s="1" t="str">
        <f>IF(Сотрудники!B1103 &lt;&gt; "",Сотрудники!B1103,"")</f>
        <v/>
      </c>
    </row>
    <row r="1097" spans="1:2" s="1" customFormat="1" x14ac:dyDescent="0.25">
      <c r="A1097" s="2" t="str">
        <f>IF(Сотрудники!A1104&lt;&gt;"",Сотрудники!A1104,"")</f>
        <v/>
      </c>
      <c r="B1097" s="1" t="str">
        <f>IF(Сотрудники!B1104 &lt;&gt; "",Сотрудники!B1104,"")</f>
        <v/>
      </c>
    </row>
    <row r="1098" spans="1:2" s="1" customFormat="1" x14ac:dyDescent="0.25">
      <c r="A1098" s="2" t="str">
        <f>IF(Сотрудники!A1105&lt;&gt;"",Сотрудники!A1105,"")</f>
        <v/>
      </c>
      <c r="B1098" s="1" t="str">
        <f>IF(Сотрудники!B1105 &lt;&gt; "",Сотрудники!B1105,"")</f>
        <v/>
      </c>
    </row>
    <row r="1099" spans="1:2" s="1" customFormat="1" x14ac:dyDescent="0.25">
      <c r="A1099" s="2" t="str">
        <f>IF(Сотрудники!A1106&lt;&gt;"",Сотрудники!A1106,"")</f>
        <v/>
      </c>
      <c r="B1099" s="1" t="str">
        <f>IF(Сотрудники!B1106 &lt;&gt; "",Сотрудники!B1106,"")</f>
        <v/>
      </c>
    </row>
    <row r="1100" spans="1:2" s="1" customFormat="1" x14ac:dyDescent="0.25">
      <c r="A1100" s="2" t="str">
        <f>IF(Сотрудники!A1107&lt;&gt;"",Сотрудники!A1107,"")</f>
        <v/>
      </c>
      <c r="B1100" s="1" t="str">
        <f>IF(Сотрудники!B1107 &lt;&gt; "",Сотрудники!B1107,"")</f>
        <v/>
      </c>
    </row>
    <row r="1101" spans="1:2" s="1" customFormat="1" x14ac:dyDescent="0.25">
      <c r="A1101" s="2" t="str">
        <f>IF(Сотрудники!A1108&lt;&gt;"",Сотрудники!A1108,"")</f>
        <v/>
      </c>
      <c r="B1101" s="1" t="str">
        <f>IF(Сотрудники!B1108 &lt;&gt; "",Сотрудники!B1108,"")</f>
        <v/>
      </c>
    </row>
    <row r="1102" spans="1:2" s="1" customFormat="1" x14ac:dyDescent="0.25">
      <c r="A1102" s="2" t="str">
        <f>IF(Сотрудники!A1109&lt;&gt;"",Сотрудники!A1109,"")</f>
        <v/>
      </c>
      <c r="B1102" s="1" t="str">
        <f>IF(Сотрудники!B1109 &lt;&gt; "",Сотрудники!B1109,"")</f>
        <v/>
      </c>
    </row>
    <row r="1103" spans="1:2" s="1" customFormat="1" x14ac:dyDescent="0.25">
      <c r="A1103" s="2" t="str">
        <f>IF(Сотрудники!A1110&lt;&gt;"",Сотрудники!A1110,"")</f>
        <v/>
      </c>
      <c r="B1103" s="1" t="str">
        <f>IF(Сотрудники!B1110 &lt;&gt; "",Сотрудники!B1110,"")</f>
        <v/>
      </c>
    </row>
    <row r="1104" spans="1:2" s="1" customFormat="1" x14ac:dyDescent="0.25">
      <c r="A1104" s="2" t="str">
        <f>IF(Сотрудники!A1111&lt;&gt;"",Сотрудники!A1111,"")</f>
        <v/>
      </c>
      <c r="B1104" s="1" t="str">
        <f>IF(Сотрудники!B1111 &lt;&gt; "",Сотрудники!B1111,"")</f>
        <v/>
      </c>
    </row>
    <row r="1105" spans="1:2" s="1" customFormat="1" x14ac:dyDescent="0.25">
      <c r="A1105" s="2" t="str">
        <f>IF(Сотрудники!A1112&lt;&gt;"",Сотрудники!A1112,"")</f>
        <v/>
      </c>
      <c r="B1105" s="1" t="str">
        <f>IF(Сотрудники!B1112 &lt;&gt; "",Сотрудники!B1112,"")</f>
        <v/>
      </c>
    </row>
    <row r="1106" spans="1:2" s="1" customFormat="1" x14ac:dyDescent="0.25">
      <c r="A1106" s="2" t="str">
        <f>IF(Сотрудники!A1113&lt;&gt;"",Сотрудники!A1113,"")</f>
        <v/>
      </c>
      <c r="B1106" s="1" t="str">
        <f>IF(Сотрудники!B1113 &lt;&gt; "",Сотрудники!B1113,"")</f>
        <v/>
      </c>
    </row>
    <row r="1107" spans="1:2" s="1" customFormat="1" x14ac:dyDescent="0.25">
      <c r="A1107" s="2" t="str">
        <f>IF(Сотрудники!A1114&lt;&gt;"",Сотрудники!A1114,"")</f>
        <v/>
      </c>
      <c r="B1107" s="1" t="str">
        <f>IF(Сотрудники!B1114 &lt;&gt; "",Сотрудники!B1114,"")</f>
        <v/>
      </c>
    </row>
    <row r="1108" spans="1:2" s="1" customFormat="1" x14ac:dyDescent="0.25">
      <c r="A1108" s="2" t="str">
        <f>IF(Сотрудники!A1115&lt;&gt;"",Сотрудники!A1115,"")</f>
        <v/>
      </c>
      <c r="B1108" s="1" t="str">
        <f>IF(Сотрудники!B1115 &lt;&gt; "",Сотрудники!B1115,"")</f>
        <v/>
      </c>
    </row>
    <row r="1109" spans="1:2" s="1" customFormat="1" x14ac:dyDescent="0.25">
      <c r="A1109" s="2" t="str">
        <f>IF(Сотрудники!A1116&lt;&gt;"",Сотрудники!A1116,"")</f>
        <v/>
      </c>
      <c r="B1109" s="1" t="str">
        <f>IF(Сотрудники!B1116 &lt;&gt; "",Сотрудники!B1116,"")</f>
        <v/>
      </c>
    </row>
    <row r="1110" spans="1:2" s="1" customFormat="1" x14ac:dyDescent="0.25">
      <c r="A1110" s="2" t="str">
        <f>IF(Сотрудники!A1117&lt;&gt;"",Сотрудники!A1117,"")</f>
        <v/>
      </c>
      <c r="B1110" s="1" t="str">
        <f>IF(Сотрудники!B1117 &lt;&gt; "",Сотрудники!B1117,"")</f>
        <v/>
      </c>
    </row>
    <row r="1111" spans="1:2" s="1" customFormat="1" x14ac:dyDescent="0.25">
      <c r="A1111" s="2" t="str">
        <f>IF(Сотрудники!A1118&lt;&gt;"",Сотрудники!A1118,"")</f>
        <v/>
      </c>
      <c r="B1111" s="1" t="str">
        <f>IF(Сотрудники!B1118 &lt;&gt; "",Сотрудники!B1118,"")</f>
        <v/>
      </c>
    </row>
    <row r="1112" spans="1:2" s="1" customFormat="1" x14ac:dyDescent="0.25">
      <c r="A1112" s="2" t="str">
        <f>IF(Сотрудники!A1119&lt;&gt;"",Сотрудники!A1119,"")</f>
        <v/>
      </c>
      <c r="B1112" s="1" t="str">
        <f>IF(Сотрудники!B1119 &lt;&gt; "",Сотрудники!B1119,"")</f>
        <v/>
      </c>
    </row>
    <row r="1113" spans="1:2" s="1" customFormat="1" x14ac:dyDescent="0.25">
      <c r="A1113" s="2" t="str">
        <f>IF(Сотрудники!A1120&lt;&gt;"",Сотрудники!A1120,"")</f>
        <v/>
      </c>
      <c r="B1113" s="1" t="str">
        <f>IF(Сотрудники!B1120 &lt;&gt; "",Сотрудники!B1120,"")</f>
        <v/>
      </c>
    </row>
    <row r="1114" spans="1:2" s="1" customFormat="1" x14ac:dyDescent="0.25">
      <c r="A1114" s="2" t="str">
        <f>IF(Сотрудники!A1121&lt;&gt;"",Сотрудники!A1121,"")</f>
        <v/>
      </c>
      <c r="B1114" s="1" t="str">
        <f>IF(Сотрудники!B1121 &lt;&gt; "",Сотрудники!B1121,"")</f>
        <v/>
      </c>
    </row>
    <row r="1115" spans="1:2" s="1" customFormat="1" x14ac:dyDescent="0.25">
      <c r="A1115" s="2" t="str">
        <f>IF(Сотрудники!A1122&lt;&gt;"",Сотрудники!A1122,"")</f>
        <v/>
      </c>
      <c r="B1115" s="1" t="str">
        <f>IF(Сотрудники!B1122 &lt;&gt; "",Сотрудники!B1122,"")</f>
        <v/>
      </c>
    </row>
    <row r="1116" spans="1:2" s="1" customFormat="1" x14ac:dyDescent="0.25">
      <c r="A1116" s="2" t="str">
        <f>IF(Сотрудники!A1123&lt;&gt;"",Сотрудники!A1123,"")</f>
        <v/>
      </c>
      <c r="B1116" s="1" t="str">
        <f>IF(Сотрудники!B1123 &lt;&gt; "",Сотрудники!B1123,"")</f>
        <v/>
      </c>
    </row>
    <row r="1117" spans="1:2" s="1" customFormat="1" x14ac:dyDescent="0.25">
      <c r="A1117" s="2" t="str">
        <f>IF(Сотрудники!A1124&lt;&gt;"",Сотрудники!A1124,"")</f>
        <v/>
      </c>
      <c r="B1117" s="1" t="str">
        <f>IF(Сотрудники!B1124 &lt;&gt; "",Сотрудники!B1124,"")</f>
        <v/>
      </c>
    </row>
    <row r="1118" spans="1:2" s="1" customFormat="1" x14ac:dyDescent="0.25">
      <c r="A1118" s="2" t="str">
        <f>IF(Сотрудники!A1125&lt;&gt;"",Сотрудники!A1125,"")</f>
        <v/>
      </c>
      <c r="B1118" s="1" t="str">
        <f>IF(Сотрудники!B1125 &lt;&gt; "",Сотрудники!B1125,"")</f>
        <v/>
      </c>
    </row>
    <row r="1119" spans="1:2" s="1" customFormat="1" x14ac:dyDescent="0.25">
      <c r="A1119" s="2" t="str">
        <f>IF(Сотрудники!A1126&lt;&gt;"",Сотрудники!A1126,"")</f>
        <v/>
      </c>
      <c r="B1119" s="1" t="str">
        <f>IF(Сотрудники!B1126 &lt;&gt; "",Сотрудники!B1126,"")</f>
        <v/>
      </c>
    </row>
    <row r="1120" spans="1:2" s="1" customFormat="1" x14ac:dyDescent="0.25">
      <c r="A1120" s="2" t="str">
        <f>IF(Сотрудники!A1127&lt;&gt;"",Сотрудники!A1127,"")</f>
        <v/>
      </c>
      <c r="B1120" s="1" t="str">
        <f>IF(Сотрудники!B1127 &lt;&gt; "",Сотрудники!B1127,"")</f>
        <v/>
      </c>
    </row>
    <row r="1121" spans="1:2" s="1" customFormat="1" x14ac:dyDescent="0.25">
      <c r="A1121" s="2" t="str">
        <f>IF(Сотрудники!A1128&lt;&gt;"",Сотрудники!A1128,"")</f>
        <v/>
      </c>
      <c r="B1121" s="1" t="str">
        <f>IF(Сотрудники!B1128 &lt;&gt; "",Сотрудники!B1128,"")</f>
        <v/>
      </c>
    </row>
    <row r="1122" spans="1:2" s="1" customFormat="1" x14ac:dyDescent="0.25">
      <c r="A1122" s="2" t="str">
        <f>IF(Сотрудники!A1129&lt;&gt;"",Сотрудники!A1129,"")</f>
        <v/>
      </c>
      <c r="B1122" s="1" t="str">
        <f>IF(Сотрудники!B1129 &lt;&gt; "",Сотрудники!B1129,"")</f>
        <v/>
      </c>
    </row>
    <row r="1123" spans="1:2" s="1" customFormat="1" x14ac:dyDescent="0.25">
      <c r="A1123" s="2" t="str">
        <f>IF(Сотрудники!A1130&lt;&gt;"",Сотрудники!A1130,"")</f>
        <v/>
      </c>
      <c r="B1123" s="1" t="str">
        <f>IF(Сотрудники!B1130 &lt;&gt; "",Сотрудники!B1130,"")</f>
        <v/>
      </c>
    </row>
    <row r="1124" spans="1:2" s="1" customFormat="1" x14ac:dyDescent="0.25">
      <c r="A1124" s="2" t="str">
        <f>IF(Сотрудники!A1131&lt;&gt;"",Сотрудники!A1131,"")</f>
        <v/>
      </c>
      <c r="B1124" s="1" t="str">
        <f>IF(Сотрудники!B1131 &lt;&gt; "",Сотрудники!B1131,"")</f>
        <v/>
      </c>
    </row>
    <row r="1125" spans="1:2" s="1" customFormat="1" x14ac:dyDescent="0.25">
      <c r="A1125" s="2" t="str">
        <f>IF(Сотрудники!A1132&lt;&gt;"",Сотрудники!A1132,"")</f>
        <v/>
      </c>
      <c r="B1125" s="1" t="str">
        <f>IF(Сотрудники!B1132 &lt;&gt; "",Сотрудники!B1132,"")</f>
        <v/>
      </c>
    </row>
    <row r="1126" spans="1:2" s="1" customFormat="1" x14ac:dyDescent="0.25">
      <c r="A1126" s="2" t="str">
        <f>IF(Сотрудники!A1133&lt;&gt;"",Сотрудники!A1133,"")</f>
        <v/>
      </c>
      <c r="B1126" s="1" t="str">
        <f>IF(Сотрудники!B1133 &lt;&gt; "",Сотрудники!B1133,"")</f>
        <v/>
      </c>
    </row>
    <row r="1127" spans="1:2" s="1" customFormat="1" x14ac:dyDescent="0.25">
      <c r="A1127" s="2" t="str">
        <f>IF(Сотрудники!A1134&lt;&gt;"",Сотрудники!A1134,"")</f>
        <v/>
      </c>
      <c r="B1127" s="1" t="str">
        <f>IF(Сотрудники!B1134 &lt;&gt; "",Сотрудники!B1134,"")</f>
        <v/>
      </c>
    </row>
    <row r="1128" spans="1:2" s="1" customFormat="1" x14ac:dyDescent="0.25">
      <c r="A1128" s="2" t="str">
        <f>IF(Сотрудники!A1135&lt;&gt;"",Сотрудники!A1135,"")</f>
        <v/>
      </c>
      <c r="B1128" s="1" t="str">
        <f>IF(Сотрудники!B1135 &lt;&gt; "",Сотрудники!B1135,"")</f>
        <v/>
      </c>
    </row>
    <row r="1129" spans="1:2" s="1" customFormat="1" x14ac:dyDescent="0.25">
      <c r="A1129" s="2" t="str">
        <f>IF(Сотрудники!A1136&lt;&gt;"",Сотрудники!A1136,"")</f>
        <v/>
      </c>
      <c r="B1129" s="1" t="str">
        <f>IF(Сотрудники!B1136 &lt;&gt; "",Сотрудники!B1136,"")</f>
        <v/>
      </c>
    </row>
    <row r="1130" spans="1:2" s="1" customFormat="1" x14ac:dyDescent="0.25">
      <c r="A1130" s="2" t="str">
        <f>IF(Сотрудники!A1137&lt;&gt;"",Сотрудники!A1137,"")</f>
        <v/>
      </c>
      <c r="B1130" s="1" t="str">
        <f>IF(Сотрудники!B1137 &lt;&gt; "",Сотрудники!B1137,"")</f>
        <v/>
      </c>
    </row>
    <row r="1131" spans="1:2" s="1" customFormat="1" x14ac:dyDescent="0.25">
      <c r="A1131" s="2" t="str">
        <f>IF(Сотрудники!A1138&lt;&gt;"",Сотрудники!A1138,"")</f>
        <v/>
      </c>
      <c r="B1131" s="1" t="str">
        <f>IF(Сотрудники!B1138 &lt;&gt; "",Сотрудники!B1138,"")</f>
        <v/>
      </c>
    </row>
    <row r="1132" spans="1:2" s="1" customFormat="1" x14ac:dyDescent="0.25">
      <c r="A1132" s="2" t="str">
        <f>IF(Сотрудники!A1139&lt;&gt;"",Сотрудники!A1139,"")</f>
        <v/>
      </c>
      <c r="B1132" s="1" t="str">
        <f>IF(Сотрудники!B1139 &lt;&gt; "",Сотрудники!B1139,"")</f>
        <v/>
      </c>
    </row>
    <row r="1133" spans="1:2" s="1" customFormat="1" x14ac:dyDescent="0.25">
      <c r="A1133" s="2" t="str">
        <f>IF(Сотрудники!A1140&lt;&gt;"",Сотрудники!A1140,"")</f>
        <v/>
      </c>
      <c r="B1133" s="1" t="str">
        <f>IF(Сотрудники!B1140 &lt;&gt; "",Сотрудники!B1140,"")</f>
        <v/>
      </c>
    </row>
    <row r="1134" spans="1:2" s="1" customFormat="1" x14ac:dyDescent="0.25">
      <c r="A1134" s="2" t="str">
        <f>IF(Сотрудники!A1141&lt;&gt;"",Сотрудники!A1141,"")</f>
        <v/>
      </c>
      <c r="B1134" s="1" t="str">
        <f>IF(Сотрудники!B1141 &lt;&gt; "",Сотрудники!B1141,"")</f>
        <v/>
      </c>
    </row>
    <row r="1135" spans="1:2" s="1" customFormat="1" x14ac:dyDescent="0.25">
      <c r="A1135" s="2" t="str">
        <f>IF(Сотрудники!A1142&lt;&gt;"",Сотрудники!A1142,"")</f>
        <v/>
      </c>
      <c r="B1135" s="1" t="str">
        <f>IF(Сотрудники!B1142 &lt;&gt; "",Сотрудники!B1142,"")</f>
        <v/>
      </c>
    </row>
    <row r="1136" spans="1:2" s="1" customFormat="1" x14ac:dyDescent="0.25">
      <c r="A1136" s="2" t="str">
        <f>IF(Сотрудники!A1143&lt;&gt;"",Сотрудники!A1143,"")</f>
        <v/>
      </c>
      <c r="B1136" s="1" t="str">
        <f>IF(Сотрудники!B1143 &lt;&gt; "",Сотрудники!B1143,"")</f>
        <v/>
      </c>
    </row>
    <row r="1137" spans="1:2" s="1" customFormat="1" x14ac:dyDescent="0.25">
      <c r="A1137" s="2" t="str">
        <f>IF(Сотрудники!A1144&lt;&gt;"",Сотрудники!A1144,"")</f>
        <v/>
      </c>
      <c r="B1137" s="1" t="str">
        <f>IF(Сотрудники!B1144 &lt;&gt; "",Сотрудники!B1144,"")</f>
        <v/>
      </c>
    </row>
    <row r="1138" spans="1:2" s="1" customFormat="1" x14ac:dyDescent="0.25">
      <c r="A1138" s="2" t="str">
        <f>IF(Сотрудники!A1145&lt;&gt;"",Сотрудники!A1145,"")</f>
        <v/>
      </c>
      <c r="B1138" s="1" t="str">
        <f>IF(Сотрудники!B1145 &lt;&gt; "",Сотрудники!B1145,"")</f>
        <v/>
      </c>
    </row>
    <row r="1139" spans="1:2" s="1" customFormat="1" x14ac:dyDescent="0.25">
      <c r="A1139" s="2" t="str">
        <f>IF(Сотрудники!A1146&lt;&gt;"",Сотрудники!A1146,"")</f>
        <v/>
      </c>
      <c r="B1139" s="1" t="str">
        <f>IF(Сотрудники!B1146 &lt;&gt; "",Сотрудники!B1146,"")</f>
        <v/>
      </c>
    </row>
    <row r="1140" spans="1:2" s="1" customFormat="1" x14ac:dyDescent="0.25">
      <c r="A1140" s="2" t="str">
        <f>IF(Сотрудники!A1147&lt;&gt;"",Сотрудники!A1147,"")</f>
        <v/>
      </c>
      <c r="B1140" s="1" t="str">
        <f>IF(Сотрудники!B1147 &lt;&gt; "",Сотрудники!B1147,"")</f>
        <v/>
      </c>
    </row>
    <row r="1141" spans="1:2" s="1" customFormat="1" x14ac:dyDescent="0.25">
      <c r="A1141" s="2" t="str">
        <f>IF(Сотрудники!A1148&lt;&gt;"",Сотрудники!A1148,"")</f>
        <v/>
      </c>
      <c r="B1141" s="1" t="str">
        <f>IF(Сотрудники!B1148 &lt;&gt; "",Сотрудники!B1148,"")</f>
        <v/>
      </c>
    </row>
    <row r="1142" spans="1:2" s="1" customFormat="1" x14ac:dyDescent="0.25">
      <c r="A1142" s="2" t="str">
        <f>IF(Сотрудники!A1149&lt;&gt;"",Сотрудники!A1149,"")</f>
        <v/>
      </c>
      <c r="B1142" s="1" t="str">
        <f>IF(Сотрудники!B1149 &lt;&gt; "",Сотрудники!B1149,"")</f>
        <v/>
      </c>
    </row>
    <row r="1143" spans="1:2" s="1" customFormat="1" x14ac:dyDescent="0.25">
      <c r="A1143" s="2" t="str">
        <f>IF(Сотрудники!A1150&lt;&gt;"",Сотрудники!A1150,"")</f>
        <v/>
      </c>
      <c r="B1143" s="1" t="str">
        <f>IF(Сотрудники!B1150 &lt;&gt; "",Сотрудники!B1150,"")</f>
        <v/>
      </c>
    </row>
    <row r="1144" spans="1:2" s="1" customFormat="1" x14ac:dyDescent="0.25">
      <c r="A1144" s="2" t="str">
        <f>IF(Сотрудники!A1151&lt;&gt;"",Сотрудники!A1151,"")</f>
        <v/>
      </c>
      <c r="B1144" s="1" t="str">
        <f>IF(Сотрудники!B1151 &lt;&gt; "",Сотрудники!B1151,"")</f>
        <v/>
      </c>
    </row>
    <row r="1145" spans="1:2" s="1" customFormat="1" x14ac:dyDescent="0.25">
      <c r="A1145" s="2" t="str">
        <f>IF(Сотрудники!A1152&lt;&gt;"",Сотрудники!A1152,"")</f>
        <v/>
      </c>
      <c r="B1145" s="1" t="str">
        <f>IF(Сотрудники!B1152 &lt;&gt; "",Сотрудники!B1152,"")</f>
        <v/>
      </c>
    </row>
    <row r="1146" spans="1:2" s="1" customFormat="1" x14ac:dyDescent="0.25">
      <c r="A1146" s="2" t="str">
        <f>IF(Сотрудники!A1153&lt;&gt;"",Сотрудники!A1153,"")</f>
        <v/>
      </c>
      <c r="B1146" s="1" t="str">
        <f>IF(Сотрудники!B1153 &lt;&gt; "",Сотрудники!B1153,"")</f>
        <v/>
      </c>
    </row>
    <row r="1147" spans="1:2" s="1" customFormat="1" x14ac:dyDescent="0.25">
      <c r="A1147" s="2" t="str">
        <f>IF(Сотрудники!A1154&lt;&gt;"",Сотрудники!A1154,"")</f>
        <v/>
      </c>
      <c r="B1147" s="1" t="str">
        <f>IF(Сотрудники!B1154 &lt;&gt; "",Сотрудники!B1154,"")</f>
        <v/>
      </c>
    </row>
    <row r="1148" spans="1:2" s="1" customFormat="1" x14ac:dyDescent="0.25">
      <c r="A1148" s="2" t="str">
        <f>IF(Сотрудники!A1155&lt;&gt;"",Сотрудники!A1155,"")</f>
        <v/>
      </c>
      <c r="B1148" s="1" t="str">
        <f>IF(Сотрудники!B1155 &lt;&gt; "",Сотрудники!B1155,"")</f>
        <v/>
      </c>
    </row>
    <row r="1149" spans="1:2" s="1" customFormat="1" x14ac:dyDescent="0.25">
      <c r="A1149" s="2" t="str">
        <f>IF(Сотрудники!A1156&lt;&gt;"",Сотрудники!A1156,"")</f>
        <v/>
      </c>
      <c r="B1149" s="1" t="str">
        <f>IF(Сотрудники!B1156 &lt;&gt; "",Сотрудники!B1156,"")</f>
        <v/>
      </c>
    </row>
    <row r="1150" spans="1:2" s="1" customFormat="1" x14ac:dyDescent="0.25">
      <c r="A1150" s="2" t="str">
        <f>IF(Сотрудники!A1157&lt;&gt;"",Сотрудники!A1157,"")</f>
        <v/>
      </c>
      <c r="B1150" s="1" t="str">
        <f>IF(Сотрудники!B1157 &lt;&gt; "",Сотрудники!B1157,"")</f>
        <v/>
      </c>
    </row>
    <row r="1151" spans="1:2" s="1" customFormat="1" x14ac:dyDescent="0.25">
      <c r="A1151" s="2" t="str">
        <f>IF(Сотрудники!A1158&lt;&gt;"",Сотрудники!A1158,"")</f>
        <v/>
      </c>
      <c r="B1151" s="1" t="str">
        <f>IF(Сотрудники!B1158 &lt;&gt; "",Сотрудники!B1158,"")</f>
        <v/>
      </c>
    </row>
    <row r="1152" spans="1:2" s="1" customFormat="1" x14ac:dyDescent="0.25">
      <c r="A1152" s="2" t="str">
        <f>IF(Сотрудники!A1159&lt;&gt;"",Сотрудники!A1159,"")</f>
        <v/>
      </c>
      <c r="B1152" s="1" t="str">
        <f>IF(Сотрудники!B1159 &lt;&gt; "",Сотрудники!B1159,"")</f>
        <v/>
      </c>
    </row>
    <row r="1153" spans="1:2" s="1" customFormat="1" x14ac:dyDescent="0.25">
      <c r="A1153" s="2" t="str">
        <f>IF(Сотрудники!A1160&lt;&gt;"",Сотрудники!A1160,"")</f>
        <v/>
      </c>
      <c r="B1153" s="1" t="str">
        <f>IF(Сотрудники!B1160 &lt;&gt; "",Сотрудники!B1160,"")</f>
        <v/>
      </c>
    </row>
    <row r="1154" spans="1:2" s="1" customFormat="1" x14ac:dyDescent="0.25">
      <c r="A1154" s="2" t="str">
        <f>IF(Сотрудники!A1161&lt;&gt;"",Сотрудники!A1161,"")</f>
        <v/>
      </c>
      <c r="B1154" s="1" t="str">
        <f>IF(Сотрудники!B1161 &lt;&gt; "",Сотрудники!B1161,"")</f>
        <v/>
      </c>
    </row>
    <row r="1155" spans="1:2" s="1" customFormat="1" x14ac:dyDescent="0.25">
      <c r="A1155" s="2" t="str">
        <f>IF(Сотрудники!A1162&lt;&gt;"",Сотрудники!A1162,"")</f>
        <v/>
      </c>
      <c r="B1155" s="1" t="str">
        <f>IF(Сотрудники!B1162 &lt;&gt; "",Сотрудники!B1162,"")</f>
        <v/>
      </c>
    </row>
    <row r="1156" spans="1:2" s="1" customFormat="1" x14ac:dyDescent="0.25">
      <c r="A1156" s="2" t="str">
        <f>IF(Сотрудники!A1163&lt;&gt;"",Сотрудники!A1163,"")</f>
        <v/>
      </c>
      <c r="B1156" s="1" t="str">
        <f>IF(Сотрудники!B1163 &lt;&gt; "",Сотрудники!B1163,"")</f>
        <v/>
      </c>
    </row>
    <row r="1157" spans="1:2" s="1" customFormat="1" x14ac:dyDescent="0.25">
      <c r="A1157" s="2" t="str">
        <f>IF(Сотрудники!A1164&lt;&gt;"",Сотрудники!A1164,"")</f>
        <v/>
      </c>
      <c r="B1157" s="1" t="str">
        <f>IF(Сотрудники!B1164 &lt;&gt; "",Сотрудники!B1164,"")</f>
        <v/>
      </c>
    </row>
    <row r="1158" spans="1:2" s="1" customFormat="1" x14ac:dyDescent="0.25">
      <c r="A1158" s="2" t="str">
        <f>IF(Сотрудники!A1165&lt;&gt;"",Сотрудники!A1165,"")</f>
        <v/>
      </c>
      <c r="B1158" s="1" t="str">
        <f>IF(Сотрудники!B1165 &lt;&gt; "",Сотрудники!B1165,"")</f>
        <v/>
      </c>
    </row>
    <row r="1159" spans="1:2" s="1" customFormat="1" x14ac:dyDescent="0.25">
      <c r="A1159" s="2" t="str">
        <f>IF(Сотрудники!A1166&lt;&gt;"",Сотрудники!A1166,"")</f>
        <v/>
      </c>
      <c r="B1159" s="1" t="str">
        <f>IF(Сотрудники!B1166 &lt;&gt; "",Сотрудники!B1166,"")</f>
        <v/>
      </c>
    </row>
    <row r="1160" spans="1:2" s="1" customFormat="1" x14ac:dyDescent="0.25">
      <c r="A1160" s="2" t="str">
        <f>IF(Сотрудники!A1167&lt;&gt;"",Сотрудники!A1167,"")</f>
        <v/>
      </c>
      <c r="B1160" s="1" t="str">
        <f>IF(Сотрудники!B1167 &lt;&gt; "",Сотрудники!B1167,"")</f>
        <v/>
      </c>
    </row>
    <row r="1161" spans="1:2" s="1" customFormat="1" x14ac:dyDescent="0.25">
      <c r="A1161" s="2" t="str">
        <f>IF(Сотрудники!A1168&lt;&gt;"",Сотрудники!A1168,"")</f>
        <v/>
      </c>
      <c r="B1161" s="1" t="str">
        <f>IF(Сотрудники!B1168 &lt;&gt; "",Сотрудники!B1168,"")</f>
        <v/>
      </c>
    </row>
    <row r="1162" spans="1:2" s="1" customFormat="1" x14ac:dyDescent="0.25">
      <c r="A1162" s="2" t="str">
        <f>IF(Сотрудники!A1169&lt;&gt;"",Сотрудники!A1169,"")</f>
        <v/>
      </c>
      <c r="B1162" s="1" t="str">
        <f>IF(Сотрудники!B1169 &lt;&gt; "",Сотрудники!B1169,"")</f>
        <v/>
      </c>
    </row>
    <row r="1163" spans="1:2" s="1" customFormat="1" x14ac:dyDescent="0.25">
      <c r="A1163" s="2" t="str">
        <f>IF(Сотрудники!A1170&lt;&gt;"",Сотрудники!A1170,"")</f>
        <v/>
      </c>
      <c r="B1163" s="1" t="str">
        <f>IF(Сотрудники!B1170 &lt;&gt; "",Сотрудники!B1170,"")</f>
        <v/>
      </c>
    </row>
    <row r="1164" spans="1:2" s="1" customFormat="1" x14ac:dyDescent="0.25">
      <c r="A1164" s="2" t="str">
        <f>IF(Сотрудники!A1171&lt;&gt;"",Сотрудники!A1171,"")</f>
        <v/>
      </c>
      <c r="B1164" s="1" t="str">
        <f>IF(Сотрудники!B1171 &lt;&gt; "",Сотрудники!B1171,"")</f>
        <v/>
      </c>
    </row>
    <row r="1165" spans="1:2" s="1" customFormat="1" x14ac:dyDescent="0.25">
      <c r="A1165" s="2" t="str">
        <f>IF(Сотрудники!A1172&lt;&gt;"",Сотрудники!A1172,"")</f>
        <v/>
      </c>
      <c r="B1165" s="1" t="str">
        <f>IF(Сотрудники!B1172 &lt;&gt; "",Сотрудники!B1172,"")</f>
        <v/>
      </c>
    </row>
    <row r="1166" spans="1:2" s="1" customFormat="1" x14ac:dyDescent="0.25">
      <c r="A1166" s="2" t="str">
        <f>IF(Сотрудники!A1173&lt;&gt;"",Сотрудники!A1173,"")</f>
        <v/>
      </c>
      <c r="B1166" s="1" t="str">
        <f>IF(Сотрудники!B1173 &lt;&gt; "",Сотрудники!B1173,"")</f>
        <v/>
      </c>
    </row>
    <row r="1167" spans="1:2" s="1" customFormat="1" x14ac:dyDescent="0.25">
      <c r="A1167" s="2" t="str">
        <f>IF(Сотрудники!A1174&lt;&gt;"",Сотрудники!A1174,"")</f>
        <v/>
      </c>
      <c r="B1167" s="1" t="str">
        <f>IF(Сотрудники!B1174 &lt;&gt; "",Сотрудники!B1174,"")</f>
        <v/>
      </c>
    </row>
    <row r="1168" spans="1:2" s="1" customFormat="1" x14ac:dyDescent="0.25">
      <c r="A1168" s="2" t="str">
        <f>IF(Сотрудники!A1175&lt;&gt;"",Сотрудники!A1175,"")</f>
        <v/>
      </c>
      <c r="B1168" s="1" t="str">
        <f>IF(Сотрудники!B1175 &lt;&gt; "",Сотрудники!B1175,"")</f>
        <v/>
      </c>
    </row>
    <row r="1169" spans="1:2" s="1" customFormat="1" x14ac:dyDescent="0.25">
      <c r="A1169" s="2" t="str">
        <f>IF(Сотрудники!A1176&lt;&gt;"",Сотрудники!A1176,"")</f>
        <v/>
      </c>
      <c r="B1169" s="1" t="str">
        <f>IF(Сотрудники!B1176 &lt;&gt; "",Сотрудники!B1176,"")</f>
        <v/>
      </c>
    </row>
    <row r="1170" spans="1:2" s="1" customFormat="1" x14ac:dyDescent="0.25">
      <c r="A1170" s="2" t="str">
        <f>IF(Сотрудники!A1177&lt;&gt;"",Сотрудники!A1177,"")</f>
        <v/>
      </c>
      <c r="B1170" s="1" t="str">
        <f>IF(Сотрудники!B1177 &lt;&gt; "",Сотрудники!B1177,"")</f>
        <v/>
      </c>
    </row>
    <row r="1171" spans="1:2" s="1" customFormat="1" x14ac:dyDescent="0.25">
      <c r="A1171" s="2" t="str">
        <f>IF(Сотрудники!A1178&lt;&gt;"",Сотрудники!A1178,"")</f>
        <v/>
      </c>
      <c r="B1171" s="1" t="str">
        <f>IF(Сотрудники!B1178 &lt;&gt; "",Сотрудники!B1178,"")</f>
        <v/>
      </c>
    </row>
    <row r="1172" spans="1:2" s="1" customFormat="1" x14ac:dyDescent="0.25">
      <c r="A1172" s="2" t="str">
        <f>IF(Сотрудники!A1179&lt;&gt;"",Сотрудники!A1179,"")</f>
        <v/>
      </c>
      <c r="B1172" s="1" t="str">
        <f>IF(Сотрудники!B1179 &lt;&gt; "",Сотрудники!B1179,"")</f>
        <v/>
      </c>
    </row>
    <row r="1173" spans="1:2" s="1" customFormat="1" x14ac:dyDescent="0.25">
      <c r="A1173" s="2" t="str">
        <f>IF(Сотрудники!A1180&lt;&gt;"",Сотрудники!A1180,"")</f>
        <v/>
      </c>
      <c r="B1173" s="1" t="str">
        <f>IF(Сотрудники!B1180 &lt;&gt; "",Сотрудники!B1180,"")</f>
        <v/>
      </c>
    </row>
    <row r="1174" spans="1:2" s="1" customFormat="1" x14ac:dyDescent="0.25">
      <c r="A1174" s="2" t="str">
        <f>IF(Сотрудники!A1181&lt;&gt;"",Сотрудники!A1181,"")</f>
        <v/>
      </c>
      <c r="B1174" s="1" t="str">
        <f>IF(Сотрудники!B1181 &lt;&gt; "",Сотрудники!B1181,"")</f>
        <v/>
      </c>
    </row>
    <row r="1175" spans="1:2" s="1" customFormat="1" x14ac:dyDescent="0.25">
      <c r="A1175" s="2" t="str">
        <f>IF(Сотрудники!A1182&lt;&gt;"",Сотрудники!A1182,"")</f>
        <v/>
      </c>
      <c r="B1175" s="1" t="str">
        <f>IF(Сотрудники!B1182 &lt;&gt; "",Сотрудники!B1182,"")</f>
        <v/>
      </c>
    </row>
    <row r="1176" spans="1:2" s="1" customFormat="1" x14ac:dyDescent="0.25">
      <c r="A1176" s="2" t="str">
        <f>IF(Сотрудники!A1183&lt;&gt;"",Сотрудники!A1183,"")</f>
        <v/>
      </c>
      <c r="B1176" s="1" t="str">
        <f>IF(Сотрудники!B1183 &lt;&gt; "",Сотрудники!B1183,"")</f>
        <v/>
      </c>
    </row>
    <row r="1177" spans="1:2" s="1" customFormat="1" x14ac:dyDescent="0.25">
      <c r="A1177" s="2" t="str">
        <f>IF(Сотрудники!A1184&lt;&gt;"",Сотрудники!A1184,"")</f>
        <v/>
      </c>
      <c r="B1177" s="1" t="str">
        <f>IF(Сотрудники!B1184 &lt;&gt; "",Сотрудники!B1184,"")</f>
        <v/>
      </c>
    </row>
    <row r="1178" spans="1:2" s="1" customFormat="1" x14ac:dyDescent="0.25">
      <c r="A1178" s="2" t="str">
        <f>IF(Сотрудники!A1185&lt;&gt;"",Сотрудники!A1185,"")</f>
        <v/>
      </c>
      <c r="B1178" s="1" t="str">
        <f>IF(Сотрудники!B1185 &lt;&gt; "",Сотрудники!B1185,"")</f>
        <v/>
      </c>
    </row>
    <row r="1179" spans="1:2" s="1" customFormat="1" x14ac:dyDescent="0.25">
      <c r="A1179" s="2" t="str">
        <f>IF(Сотрудники!A1186&lt;&gt;"",Сотрудники!A1186,"")</f>
        <v/>
      </c>
      <c r="B1179" s="1" t="str">
        <f>IF(Сотрудники!B1186 &lt;&gt; "",Сотрудники!B1186,"")</f>
        <v/>
      </c>
    </row>
    <row r="1180" spans="1:2" s="1" customFormat="1" x14ac:dyDescent="0.25">
      <c r="A1180" s="2" t="str">
        <f>IF(Сотрудники!A1187&lt;&gt;"",Сотрудники!A1187,"")</f>
        <v/>
      </c>
      <c r="B1180" s="1" t="str">
        <f>IF(Сотрудники!B1187 &lt;&gt; "",Сотрудники!B1187,"")</f>
        <v/>
      </c>
    </row>
    <row r="1181" spans="1:2" s="1" customFormat="1" x14ac:dyDescent="0.25">
      <c r="A1181" s="2" t="str">
        <f>IF(Сотрудники!A1188&lt;&gt;"",Сотрудники!A1188,"")</f>
        <v/>
      </c>
      <c r="B1181" s="1" t="str">
        <f>IF(Сотрудники!B1188 &lt;&gt; "",Сотрудники!B1188,"")</f>
        <v/>
      </c>
    </row>
    <row r="1182" spans="1:2" s="1" customFormat="1" x14ac:dyDescent="0.25">
      <c r="A1182" s="2" t="str">
        <f>IF(Сотрудники!A1189&lt;&gt;"",Сотрудники!A1189,"")</f>
        <v/>
      </c>
      <c r="B1182" s="1" t="str">
        <f>IF(Сотрудники!B1189 &lt;&gt; "",Сотрудники!B1189,"")</f>
        <v/>
      </c>
    </row>
    <row r="1183" spans="1:2" s="1" customFormat="1" x14ac:dyDescent="0.25">
      <c r="A1183" s="2" t="str">
        <f>IF(Сотрудники!A1190&lt;&gt;"",Сотрудники!A1190,"")</f>
        <v/>
      </c>
      <c r="B1183" s="1" t="str">
        <f>IF(Сотрудники!B1190 &lt;&gt; "",Сотрудники!B1190,"")</f>
        <v/>
      </c>
    </row>
    <row r="1184" spans="1:2" s="1" customFormat="1" x14ac:dyDescent="0.25">
      <c r="A1184" s="2" t="str">
        <f>IF(Сотрудники!A1191&lt;&gt;"",Сотрудники!A1191,"")</f>
        <v/>
      </c>
      <c r="B1184" s="1" t="str">
        <f>IF(Сотрудники!B1191 &lt;&gt; "",Сотрудники!B1191,"")</f>
        <v/>
      </c>
    </row>
    <row r="1185" spans="1:2" s="1" customFormat="1" x14ac:dyDescent="0.25">
      <c r="A1185" s="2" t="str">
        <f>IF(Сотрудники!A1192&lt;&gt;"",Сотрудники!A1192,"")</f>
        <v/>
      </c>
      <c r="B1185" s="1" t="str">
        <f>IF(Сотрудники!B1192 &lt;&gt; "",Сотрудники!B1192,"")</f>
        <v/>
      </c>
    </row>
    <row r="1186" spans="1:2" s="1" customFormat="1" x14ac:dyDescent="0.25">
      <c r="A1186" s="2" t="str">
        <f>IF(Сотрудники!A1193&lt;&gt;"",Сотрудники!A1193,"")</f>
        <v/>
      </c>
      <c r="B1186" s="1" t="str">
        <f>IF(Сотрудники!B1193 &lt;&gt; "",Сотрудники!B1193,"")</f>
        <v/>
      </c>
    </row>
    <row r="1187" spans="1:2" s="1" customFormat="1" x14ac:dyDescent="0.25">
      <c r="A1187" s="2" t="str">
        <f>IF(Сотрудники!A1194&lt;&gt;"",Сотрудники!A1194,"")</f>
        <v/>
      </c>
      <c r="B1187" s="1" t="str">
        <f>IF(Сотрудники!B1194 &lt;&gt; "",Сотрудники!B1194,"")</f>
        <v/>
      </c>
    </row>
    <row r="1188" spans="1:2" s="1" customFormat="1" x14ac:dyDescent="0.25">
      <c r="A1188" s="2" t="str">
        <f>IF(Сотрудники!A1195&lt;&gt;"",Сотрудники!A1195,"")</f>
        <v/>
      </c>
      <c r="B1188" s="1" t="str">
        <f>IF(Сотрудники!B1195 &lt;&gt; "",Сотрудники!B1195,"")</f>
        <v/>
      </c>
    </row>
    <row r="1189" spans="1:2" s="1" customFormat="1" x14ac:dyDescent="0.25">
      <c r="A1189" s="2" t="str">
        <f>IF(Сотрудники!A1196&lt;&gt;"",Сотрудники!A1196,"")</f>
        <v/>
      </c>
      <c r="B1189" s="1" t="str">
        <f>IF(Сотрудники!B1196 &lt;&gt; "",Сотрудники!B1196,"")</f>
        <v/>
      </c>
    </row>
    <row r="1190" spans="1:2" s="1" customFormat="1" x14ac:dyDescent="0.25">
      <c r="A1190" s="2" t="str">
        <f>IF(Сотрудники!A1197&lt;&gt;"",Сотрудники!A1197,"")</f>
        <v/>
      </c>
      <c r="B1190" s="1" t="str">
        <f>IF(Сотрудники!B1197 &lt;&gt; "",Сотрудники!B1197,"")</f>
        <v/>
      </c>
    </row>
    <row r="1191" spans="1:2" s="1" customFormat="1" x14ac:dyDescent="0.25">
      <c r="A1191" s="2" t="str">
        <f>IF(Сотрудники!A1198&lt;&gt;"",Сотрудники!A1198,"")</f>
        <v/>
      </c>
      <c r="B1191" s="1" t="str">
        <f>IF(Сотрудники!B1198 &lt;&gt; "",Сотрудники!B1198,"")</f>
        <v/>
      </c>
    </row>
    <row r="1192" spans="1:2" s="1" customFormat="1" x14ac:dyDescent="0.25">
      <c r="A1192" s="2" t="str">
        <f>IF(Сотрудники!A1199&lt;&gt;"",Сотрудники!A1199,"")</f>
        <v/>
      </c>
      <c r="B1192" s="1" t="str">
        <f>IF(Сотрудники!B1199 &lt;&gt; "",Сотрудники!B1199,"")</f>
        <v/>
      </c>
    </row>
    <row r="1193" spans="1:2" s="1" customFormat="1" x14ac:dyDescent="0.25">
      <c r="A1193" s="2" t="str">
        <f>IF(Сотрудники!A1200&lt;&gt;"",Сотрудники!A1200,"")</f>
        <v/>
      </c>
      <c r="B1193" s="1" t="str">
        <f>IF(Сотрудники!B1200 &lt;&gt; "",Сотрудники!B1200,"")</f>
        <v/>
      </c>
    </row>
    <row r="1194" spans="1:2" s="1" customFormat="1" x14ac:dyDescent="0.25">
      <c r="A1194" s="2" t="str">
        <f>IF(Сотрудники!A1201&lt;&gt;"",Сотрудники!A1201,"")</f>
        <v/>
      </c>
      <c r="B1194" s="1" t="str">
        <f>IF(Сотрудники!B1201 &lt;&gt; "",Сотрудники!B1201,"")</f>
        <v/>
      </c>
    </row>
    <row r="1195" spans="1:2" s="1" customFormat="1" x14ac:dyDescent="0.25">
      <c r="A1195" s="2" t="str">
        <f>IF(Сотрудники!A1202&lt;&gt;"",Сотрудники!A1202,"")</f>
        <v/>
      </c>
      <c r="B1195" s="1" t="str">
        <f>IF(Сотрудники!B1202 &lt;&gt; "",Сотрудники!B1202,"")</f>
        <v/>
      </c>
    </row>
    <row r="1196" spans="1:2" s="1" customFormat="1" x14ac:dyDescent="0.25">
      <c r="A1196" s="2" t="str">
        <f>IF(Сотрудники!A1203&lt;&gt;"",Сотрудники!A1203,"")</f>
        <v/>
      </c>
      <c r="B1196" s="1" t="str">
        <f>IF(Сотрудники!B1203 &lt;&gt; "",Сотрудники!B1203,"")</f>
        <v/>
      </c>
    </row>
    <row r="1197" spans="1:2" s="1" customFormat="1" x14ac:dyDescent="0.25">
      <c r="A1197" s="2" t="str">
        <f>IF(Сотрудники!A1204&lt;&gt;"",Сотрудники!A1204,"")</f>
        <v/>
      </c>
      <c r="B1197" s="1" t="str">
        <f>IF(Сотрудники!B1204 &lt;&gt; "",Сотрудники!B1204,"")</f>
        <v/>
      </c>
    </row>
    <row r="1198" spans="1:2" s="1" customFormat="1" x14ac:dyDescent="0.25">
      <c r="A1198" s="2" t="str">
        <f>IF(Сотрудники!A1205&lt;&gt;"",Сотрудники!A1205,"")</f>
        <v/>
      </c>
      <c r="B1198" s="1" t="str">
        <f>IF(Сотрудники!B1205 &lt;&gt; "",Сотрудники!B1205,"")</f>
        <v/>
      </c>
    </row>
    <row r="1199" spans="1:2" s="1" customFormat="1" x14ac:dyDescent="0.25">
      <c r="A1199" s="2" t="str">
        <f>IF(Сотрудники!A1206&lt;&gt;"",Сотрудники!A1206,"")</f>
        <v/>
      </c>
      <c r="B1199" s="1" t="str">
        <f>IF(Сотрудники!B1206 &lt;&gt; "",Сотрудники!B1206,"")</f>
        <v/>
      </c>
    </row>
    <row r="1200" spans="1:2" s="1" customFormat="1" x14ac:dyDescent="0.25">
      <c r="A1200" s="2" t="str">
        <f>IF(Сотрудники!A1207&lt;&gt;"",Сотрудники!A1207,"")</f>
        <v/>
      </c>
      <c r="B1200" s="1" t="str">
        <f>IF(Сотрудники!B1207 &lt;&gt; "",Сотрудники!B1207,"")</f>
        <v/>
      </c>
    </row>
    <row r="1201" spans="1:2" s="1" customFormat="1" x14ac:dyDescent="0.25">
      <c r="A1201" s="2" t="str">
        <f>IF(Сотрудники!A1208&lt;&gt;"",Сотрудники!A1208,"")</f>
        <v/>
      </c>
      <c r="B1201" s="1" t="str">
        <f>IF(Сотрудники!B1208 &lt;&gt; "",Сотрудники!B1208,"")</f>
        <v/>
      </c>
    </row>
    <row r="1202" spans="1:2" s="1" customFormat="1" x14ac:dyDescent="0.25">
      <c r="A1202" s="2" t="str">
        <f>IF(Сотрудники!A1209&lt;&gt;"",Сотрудники!A1209,"")</f>
        <v/>
      </c>
      <c r="B1202" s="1" t="str">
        <f>IF(Сотрудники!B1209 &lt;&gt; "",Сотрудники!B1209,"")</f>
        <v/>
      </c>
    </row>
    <row r="1203" spans="1:2" s="1" customFormat="1" x14ac:dyDescent="0.25">
      <c r="A1203" s="2" t="str">
        <f>IF(Сотрудники!A1210&lt;&gt;"",Сотрудники!A1210,"")</f>
        <v/>
      </c>
      <c r="B1203" s="1" t="str">
        <f>IF(Сотрудники!B1210 &lt;&gt; "",Сотрудники!B1210,"")</f>
        <v/>
      </c>
    </row>
    <row r="1204" spans="1:2" s="1" customFormat="1" x14ac:dyDescent="0.25">
      <c r="A1204" s="2" t="str">
        <f>IF(Сотрудники!A1211&lt;&gt;"",Сотрудники!A1211,"")</f>
        <v/>
      </c>
      <c r="B1204" s="1" t="str">
        <f>IF(Сотрудники!B1211 &lt;&gt; "",Сотрудники!B1211,"")</f>
        <v/>
      </c>
    </row>
    <row r="1205" spans="1:2" s="1" customFormat="1" x14ac:dyDescent="0.25">
      <c r="A1205" s="2" t="str">
        <f>IF(Сотрудники!A1212&lt;&gt;"",Сотрудники!A1212,"")</f>
        <v/>
      </c>
      <c r="B1205" s="1" t="str">
        <f>IF(Сотрудники!B1212 &lt;&gt; "",Сотрудники!B1212,"")</f>
        <v/>
      </c>
    </row>
    <row r="1206" spans="1:2" s="1" customFormat="1" x14ac:dyDescent="0.25">
      <c r="A1206" s="2" t="str">
        <f>IF(Сотрудники!A1213&lt;&gt;"",Сотрудники!A1213,"")</f>
        <v/>
      </c>
      <c r="B1206" s="1" t="str">
        <f>IF(Сотрудники!B1213 &lt;&gt; "",Сотрудники!B1213,"")</f>
        <v/>
      </c>
    </row>
    <row r="1207" spans="1:2" s="1" customFormat="1" x14ac:dyDescent="0.25">
      <c r="A1207" s="2" t="str">
        <f>IF(Сотрудники!A1214&lt;&gt;"",Сотрудники!A1214,"")</f>
        <v/>
      </c>
      <c r="B1207" s="1" t="str">
        <f>IF(Сотрудники!B1214 &lt;&gt; "",Сотрудники!B1214,"")</f>
        <v/>
      </c>
    </row>
    <row r="1208" spans="1:2" s="1" customFormat="1" x14ac:dyDescent="0.25">
      <c r="A1208" s="2" t="str">
        <f>IF(Сотрудники!A1215&lt;&gt;"",Сотрудники!A1215,"")</f>
        <v/>
      </c>
      <c r="B1208" s="1" t="str">
        <f>IF(Сотрудники!B1215 &lt;&gt; "",Сотрудники!B1215,"")</f>
        <v/>
      </c>
    </row>
    <row r="1209" spans="1:2" s="1" customFormat="1" x14ac:dyDescent="0.25">
      <c r="A1209" s="2" t="str">
        <f>IF(Сотрудники!A1216&lt;&gt;"",Сотрудники!A1216,"")</f>
        <v/>
      </c>
      <c r="B1209" s="1" t="str">
        <f>IF(Сотрудники!B1216 &lt;&gt; "",Сотрудники!B1216,"")</f>
        <v/>
      </c>
    </row>
    <row r="1210" spans="1:2" s="1" customFormat="1" x14ac:dyDescent="0.25">
      <c r="A1210" s="2" t="str">
        <f>IF(Сотрудники!A1217&lt;&gt;"",Сотрудники!A1217,"")</f>
        <v/>
      </c>
      <c r="B1210" s="1" t="str">
        <f>IF(Сотрудники!B1217 &lt;&gt; "",Сотрудники!B1217,"")</f>
        <v/>
      </c>
    </row>
    <row r="1211" spans="1:2" s="1" customFormat="1" x14ac:dyDescent="0.25">
      <c r="A1211" s="2" t="str">
        <f>IF(Сотрудники!A1218&lt;&gt;"",Сотрудники!A1218,"")</f>
        <v/>
      </c>
      <c r="B1211" s="1" t="str">
        <f>IF(Сотрудники!B1218 &lt;&gt; "",Сотрудники!B1218,"")</f>
        <v/>
      </c>
    </row>
    <row r="1212" spans="1:2" s="1" customFormat="1" x14ac:dyDescent="0.25">
      <c r="A1212" s="2" t="str">
        <f>IF(Сотрудники!A1219&lt;&gt;"",Сотрудники!A1219,"")</f>
        <v/>
      </c>
      <c r="B1212" s="1" t="str">
        <f>IF(Сотрудники!B1219 &lt;&gt; "",Сотрудники!B1219,"")</f>
        <v/>
      </c>
    </row>
    <row r="1213" spans="1:2" s="1" customFormat="1" x14ac:dyDescent="0.25">
      <c r="A1213" s="2" t="str">
        <f>IF(Сотрудники!A1220&lt;&gt;"",Сотрудники!A1220,"")</f>
        <v/>
      </c>
      <c r="B1213" s="1" t="str">
        <f>IF(Сотрудники!B1220 &lt;&gt; "",Сотрудники!B1220,"")</f>
        <v/>
      </c>
    </row>
    <row r="1214" spans="1:2" s="1" customFormat="1" x14ac:dyDescent="0.25">
      <c r="A1214" s="2" t="str">
        <f>IF(Сотрудники!A1221&lt;&gt;"",Сотрудники!A1221,"")</f>
        <v/>
      </c>
      <c r="B1214" s="1" t="str">
        <f>IF(Сотрудники!B1221 &lt;&gt; "",Сотрудники!B1221,"")</f>
        <v/>
      </c>
    </row>
    <row r="1215" spans="1:2" s="1" customFormat="1" x14ac:dyDescent="0.25">
      <c r="A1215" s="2" t="str">
        <f>IF(Сотрудники!A1222&lt;&gt;"",Сотрудники!A1222,"")</f>
        <v/>
      </c>
      <c r="B1215" s="1" t="str">
        <f>IF(Сотрудники!B1222 &lt;&gt; "",Сотрудники!B1222,"")</f>
        <v/>
      </c>
    </row>
    <row r="1216" spans="1:2" s="1" customFormat="1" x14ac:dyDescent="0.25">
      <c r="A1216" s="2" t="str">
        <f>IF(Сотрудники!A1223&lt;&gt;"",Сотрудники!A1223,"")</f>
        <v/>
      </c>
      <c r="B1216" s="1" t="str">
        <f>IF(Сотрудники!B1223 &lt;&gt; "",Сотрудники!B1223,"")</f>
        <v/>
      </c>
    </row>
    <row r="1217" spans="1:2" s="1" customFormat="1" x14ac:dyDescent="0.25">
      <c r="A1217" s="2" t="str">
        <f>IF(Сотрудники!A1224&lt;&gt;"",Сотрудники!A1224,"")</f>
        <v/>
      </c>
      <c r="B1217" s="1" t="str">
        <f>IF(Сотрудники!B1224 &lt;&gt; "",Сотрудники!B1224,"")</f>
        <v/>
      </c>
    </row>
    <row r="1218" spans="1:2" s="1" customFormat="1" x14ac:dyDescent="0.25">
      <c r="A1218" s="2" t="str">
        <f>IF(Сотрудники!A1225&lt;&gt;"",Сотрудники!A1225,"")</f>
        <v/>
      </c>
      <c r="B1218" s="1" t="str">
        <f>IF(Сотрудники!B1225 &lt;&gt; "",Сотрудники!B1225,"")</f>
        <v/>
      </c>
    </row>
    <row r="1219" spans="1:2" s="1" customFormat="1" x14ac:dyDescent="0.25">
      <c r="A1219" s="2" t="str">
        <f>IF(Сотрудники!A1226&lt;&gt;"",Сотрудники!A1226,"")</f>
        <v/>
      </c>
      <c r="B1219" s="1" t="str">
        <f>IF(Сотрудники!B1226 &lt;&gt; "",Сотрудники!B1226,"")</f>
        <v/>
      </c>
    </row>
    <row r="1220" spans="1:2" s="1" customFormat="1" x14ac:dyDescent="0.25">
      <c r="A1220" s="2" t="str">
        <f>IF(Сотрудники!A1227&lt;&gt;"",Сотрудники!A1227,"")</f>
        <v/>
      </c>
      <c r="B1220" s="1" t="str">
        <f>IF(Сотрудники!B1227 &lt;&gt; "",Сотрудники!B1227,"")</f>
        <v/>
      </c>
    </row>
    <row r="1221" spans="1:2" s="1" customFormat="1" x14ac:dyDescent="0.25">
      <c r="A1221" s="2" t="str">
        <f>IF(Сотрудники!A1228&lt;&gt;"",Сотрудники!A1228,"")</f>
        <v/>
      </c>
      <c r="B1221" s="1" t="str">
        <f>IF(Сотрудники!B1228 &lt;&gt; "",Сотрудники!B1228,"")</f>
        <v/>
      </c>
    </row>
    <row r="1222" spans="1:2" s="1" customFormat="1" x14ac:dyDescent="0.25">
      <c r="A1222" s="2" t="str">
        <f>IF(Сотрудники!A1229&lt;&gt;"",Сотрудники!A1229,"")</f>
        <v/>
      </c>
      <c r="B1222" s="1" t="str">
        <f>IF(Сотрудники!B1229 &lt;&gt; "",Сотрудники!B1229,"")</f>
        <v/>
      </c>
    </row>
    <row r="1223" spans="1:2" s="1" customFormat="1" x14ac:dyDescent="0.25">
      <c r="A1223" s="2" t="str">
        <f>IF(Сотрудники!A1230&lt;&gt;"",Сотрудники!A1230,"")</f>
        <v/>
      </c>
      <c r="B1223" s="1" t="str">
        <f>IF(Сотрудники!B1230 &lt;&gt; "",Сотрудники!B1230,"")</f>
        <v/>
      </c>
    </row>
    <row r="1224" spans="1:2" s="1" customFormat="1" x14ac:dyDescent="0.25">
      <c r="A1224" s="2" t="str">
        <f>IF(Сотрудники!A1231&lt;&gt;"",Сотрудники!A1231,"")</f>
        <v/>
      </c>
      <c r="B1224" s="1" t="str">
        <f>IF(Сотрудники!B1231 &lt;&gt; "",Сотрудники!B1231,"")</f>
        <v/>
      </c>
    </row>
    <row r="1225" spans="1:2" s="1" customFormat="1" x14ac:dyDescent="0.25">
      <c r="A1225" s="2" t="str">
        <f>IF(Сотрудники!A1232&lt;&gt;"",Сотрудники!A1232,"")</f>
        <v/>
      </c>
      <c r="B1225" s="1" t="str">
        <f>IF(Сотрудники!B1232 &lt;&gt; "",Сотрудники!B1232,"")</f>
        <v/>
      </c>
    </row>
    <row r="1226" spans="1:2" s="1" customFormat="1" x14ac:dyDescent="0.25">
      <c r="A1226" s="2" t="str">
        <f>IF(Сотрудники!A1233&lt;&gt;"",Сотрудники!A1233,"")</f>
        <v/>
      </c>
      <c r="B1226" s="1" t="str">
        <f>IF(Сотрудники!B1233 &lt;&gt; "",Сотрудники!B1233,"")</f>
        <v/>
      </c>
    </row>
    <row r="1227" spans="1:2" s="1" customFormat="1" x14ac:dyDescent="0.25">
      <c r="A1227" s="2" t="str">
        <f>IF(Сотрудники!A1234&lt;&gt;"",Сотрудники!A1234,"")</f>
        <v/>
      </c>
      <c r="B1227" s="1" t="str">
        <f>IF(Сотрудники!B1234 &lt;&gt; "",Сотрудники!B1234,"")</f>
        <v/>
      </c>
    </row>
    <row r="1228" spans="1:2" s="1" customFormat="1" x14ac:dyDescent="0.25">
      <c r="A1228" s="2" t="str">
        <f>IF(Сотрудники!A1235&lt;&gt;"",Сотрудники!A1235,"")</f>
        <v/>
      </c>
      <c r="B1228" s="1" t="str">
        <f>IF(Сотрудники!B1235 &lt;&gt; "",Сотрудники!B1235,"")</f>
        <v/>
      </c>
    </row>
    <row r="1229" spans="1:2" s="1" customFormat="1" x14ac:dyDescent="0.25">
      <c r="A1229" s="2" t="str">
        <f>IF(Сотрудники!A1236&lt;&gt;"",Сотрудники!A1236,"")</f>
        <v/>
      </c>
      <c r="B1229" s="1" t="str">
        <f>IF(Сотрудники!B1236 &lt;&gt; "",Сотрудники!B1236,"")</f>
        <v/>
      </c>
    </row>
    <row r="1230" spans="1:2" s="1" customFormat="1" x14ac:dyDescent="0.25">
      <c r="A1230" s="2" t="str">
        <f>IF(Сотрудники!A1237&lt;&gt;"",Сотрудники!A1237,"")</f>
        <v/>
      </c>
      <c r="B1230" s="1" t="str">
        <f>IF(Сотрудники!B1237 &lt;&gt; "",Сотрудники!B1237,"")</f>
        <v/>
      </c>
    </row>
    <row r="1231" spans="1:2" s="1" customFormat="1" x14ac:dyDescent="0.25">
      <c r="A1231" s="2" t="str">
        <f>IF(Сотрудники!A1238&lt;&gt;"",Сотрудники!A1238,"")</f>
        <v/>
      </c>
      <c r="B1231" s="1" t="str">
        <f>IF(Сотрудники!B1238 &lt;&gt; "",Сотрудники!B1238,"")</f>
        <v/>
      </c>
    </row>
    <row r="1232" spans="1:2" s="1" customFormat="1" x14ac:dyDescent="0.25">
      <c r="A1232" s="2" t="str">
        <f>IF(Сотрудники!A1239&lt;&gt;"",Сотрудники!A1239,"")</f>
        <v/>
      </c>
      <c r="B1232" s="1" t="str">
        <f>IF(Сотрудники!B1239 &lt;&gt; "",Сотрудники!B1239,"")</f>
        <v/>
      </c>
    </row>
    <row r="1233" spans="1:2" s="1" customFormat="1" x14ac:dyDescent="0.25">
      <c r="A1233" s="2" t="str">
        <f>IF(Сотрудники!A1240&lt;&gt;"",Сотрудники!A1240,"")</f>
        <v/>
      </c>
      <c r="B1233" s="1" t="str">
        <f>IF(Сотрудники!B1240 &lt;&gt; "",Сотрудники!B1240,"")</f>
        <v/>
      </c>
    </row>
    <row r="1234" spans="1:2" s="1" customFormat="1" x14ac:dyDescent="0.25">
      <c r="A1234" s="2" t="str">
        <f>IF(Сотрудники!A1241&lt;&gt;"",Сотрудники!A1241,"")</f>
        <v/>
      </c>
      <c r="B1234" s="1" t="str">
        <f>IF(Сотрудники!B1241 &lt;&gt; "",Сотрудники!B1241,"")</f>
        <v/>
      </c>
    </row>
    <row r="1235" spans="1:2" s="1" customFormat="1" x14ac:dyDescent="0.25">
      <c r="A1235" s="2" t="str">
        <f>IF(Сотрудники!A1242&lt;&gt;"",Сотрудники!A1242,"")</f>
        <v/>
      </c>
      <c r="B1235" s="1" t="str">
        <f>IF(Сотрудники!B1242 &lt;&gt; "",Сотрудники!B1242,"")</f>
        <v/>
      </c>
    </row>
    <row r="1236" spans="1:2" s="1" customFormat="1" x14ac:dyDescent="0.25">
      <c r="A1236" s="2" t="str">
        <f>IF(Сотрудники!A1243&lt;&gt;"",Сотрудники!A1243,"")</f>
        <v/>
      </c>
      <c r="B1236" s="1" t="str">
        <f>IF(Сотрудники!B1243 &lt;&gt; "",Сотрудники!B1243,"")</f>
        <v/>
      </c>
    </row>
    <row r="1237" spans="1:2" s="1" customFormat="1" x14ac:dyDescent="0.25">
      <c r="A1237" s="2" t="str">
        <f>IF(Сотрудники!A1244&lt;&gt;"",Сотрудники!A1244,"")</f>
        <v/>
      </c>
      <c r="B1237" s="1" t="str">
        <f>IF(Сотрудники!B1244 &lt;&gt; "",Сотрудники!B1244,"")</f>
        <v/>
      </c>
    </row>
    <row r="1238" spans="1:2" s="1" customFormat="1" x14ac:dyDescent="0.25">
      <c r="A1238" s="2" t="str">
        <f>IF(Сотрудники!A1245&lt;&gt;"",Сотрудники!A1245,"")</f>
        <v/>
      </c>
      <c r="B1238" s="1" t="str">
        <f>IF(Сотрудники!B1245 &lt;&gt; "",Сотрудники!B1245,"")</f>
        <v/>
      </c>
    </row>
    <row r="1239" spans="1:2" s="1" customFormat="1" x14ac:dyDescent="0.25">
      <c r="A1239" s="2" t="str">
        <f>IF(Сотрудники!A1246&lt;&gt;"",Сотрудники!A1246,"")</f>
        <v/>
      </c>
      <c r="B1239" s="1" t="str">
        <f>IF(Сотрудники!B1246 &lt;&gt; "",Сотрудники!B1246,"")</f>
        <v/>
      </c>
    </row>
    <row r="1240" spans="1:2" s="1" customFormat="1" x14ac:dyDescent="0.25">
      <c r="A1240" s="2" t="str">
        <f>IF(Сотрудники!A1247&lt;&gt;"",Сотрудники!A1247,"")</f>
        <v/>
      </c>
      <c r="B1240" s="1" t="str">
        <f>IF(Сотрудники!B1247 &lt;&gt; "",Сотрудники!B1247,"")</f>
        <v/>
      </c>
    </row>
    <row r="1241" spans="1:2" s="1" customFormat="1" x14ac:dyDescent="0.25">
      <c r="A1241" s="2" t="str">
        <f>IF(Сотрудники!A1248&lt;&gt;"",Сотрудники!A1248,"")</f>
        <v/>
      </c>
      <c r="B1241" s="1" t="str">
        <f>IF(Сотрудники!B1248 &lt;&gt; "",Сотрудники!B1248,"")</f>
        <v/>
      </c>
    </row>
    <row r="1242" spans="1:2" s="1" customFormat="1" x14ac:dyDescent="0.25">
      <c r="A1242" s="2" t="str">
        <f>IF(Сотрудники!A1249&lt;&gt;"",Сотрудники!A1249,"")</f>
        <v/>
      </c>
      <c r="B1242" s="1" t="str">
        <f>IF(Сотрудники!B1249 &lt;&gt; "",Сотрудники!B1249,"")</f>
        <v/>
      </c>
    </row>
    <row r="1243" spans="1:2" s="1" customFormat="1" x14ac:dyDescent="0.25">
      <c r="A1243" s="2" t="str">
        <f>IF(Сотрудники!A1250&lt;&gt;"",Сотрудники!A1250,"")</f>
        <v/>
      </c>
      <c r="B1243" s="1" t="str">
        <f>IF(Сотрудники!B1250 &lt;&gt; "",Сотрудники!B1250,"")</f>
        <v/>
      </c>
    </row>
    <row r="1244" spans="1:2" s="1" customFormat="1" x14ac:dyDescent="0.25">
      <c r="A1244" s="2" t="str">
        <f>IF(Сотрудники!A1251&lt;&gt;"",Сотрудники!A1251,"")</f>
        <v/>
      </c>
      <c r="B1244" s="1" t="str">
        <f>IF(Сотрудники!B1251 &lt;&gt; "",Сотрудники!B1251,"")</f>
        <v/>
      </c>
    </row>
    <row r="1245" spans="1:2" s="1" customFormat="1" x14ac:dyDescent="0.25">
      <c r="A1245" s="2" t="str">
        <f>IF(Сотрудники!A1252&lt;&gt;"",Сотрудники!A1252,"")</f>
        <v/>
      </c>
      <c r="B1245" s="1" t="str">
        <f>IF(Сотрудники!B1252 &lt;&gt; "",Сотрудники!B1252,"")</f>
        <v/>
      </c>
    </row>
    <row r="1246" spans="1:2" s="1" customFormat="1" x14ac:dyDescent="0.25">
      <c r="A1246" s="2" t="str">
        <f>IF(Сотрудники!A1253&lt;&gt;"",Сотрудники!A1253,"")</f>
        <v/>
      </c>
      <c r="B1246" s="1" t="str">
        <f>IF(Сотрудники!B1253 &lt;&gt; "",Сотрудники!B1253,"")</f>
        <v/>
      </c>
    </row>
    <row r="1247" spans="1:2" s="1" customFormat="1" x14ac:dyDescent="0.25">
      <c r="A1247" s="2" t="str">
        <f>IF(Сотрудники!A1254&lt;&gt;"",Сотрудники!A1254,"")</f>
        <v/>
      </c>
      <c r="B1247" s="1" t="str">
        <f>IF(Сотрудники!B1254 &lt;&gt; "",Сотрудники!B1254,"")</f>
        <v/>
      </c>
    </row>
    <row r="1248" spans="1:2" s="1" customFormat="1" x14ac:dyDescent="0.25">
      <c r="A1248" s="2" t="str">
        <f>IF(Сотрудники!A1255&lt;&gt;"",Сотрудники!A1255,"")</f>
        <v/>
      </c>
      <c r="B1248" s="1" t="str">
        <f>IF(Сотрудники!B1255 &lt;&gt; "",Сотрудники!B1255,"")</f>
        <v/>
      </c>
    </row>
    <row r="1249" spans="1:2" s="1" customFormat="1" x14ac:dyDescent="0.25">
      <c r="A1249" s="2" t="str">
        <f>IF(Сотрудники!A1256&lt;&gt;"",Сотрудники!A1256,"")</f>
        <v/>
      </c>
      <c r="B1249" s="1" t="str">
        <f>IF(Сотрудники!B1256 &lt;&gt; "",Сотрудники!B1256,"")</f>
        <v/>
      </c>
    </row>
    <row r="1250" spans="1:2" s="1" customFormat="1" x14ac:dyDescent="0.25">
      <c r="A1250" s="2" t="str">
        <f>IF(Сотрудники!A1257&lt;&gt;"",Сотрудники!A1257,"")</f>
        <v/>
      </c>
      <c r="B1250" s="1" t="str">
        <f>IF(Сотрудники!B1257 &lt;&gt; "",Сотрудники!B1257,"")</f>
        <v/>
      </c>
    </row>
    <row r="1251" spans="1:2" s="1" customFormat="1" x14ac:dyDescent="0.25">
      <c r="A1251" s="2" t="str">
        <f>IF(Сотрудники!A1258&lt;&gt;"",Сотрудники!A1258,"")</f>
        <v/>
      </c>
      <c r="B1251" s="1" t="str">
        <f>IF(Сотрудники!B1258 &lt;&gt; "",Сотрудники!B1258,"")</f>
        <v/>
      </c>
    </row>
    <row r="1252" spans="1:2" s="1" customFormat="1" x14ac:dyDescent="0.25">
      <c r="A1252" s="2" t="str">
        <f>IF(Сотрудники!A1259&lt;&gt;"",Сотрудники!A1259,"")</f>
        <v/>
      </c>
      <c r="B1252" s="1" t="str">
        <f>IF(Сотрудники!B1259 &lt;&gt; "",Сотрудники!B1259,"")</f>
        <v/>
      </c>
    </row>
    <row r="1253" spans="1:2" s="1" customFormat="1" x14ac:dyDescent="0.25">
      <c r="A1253" s="2" t="str">
        <f>IF(Сотрудники!A1260&lt;&gt;"",Сотрудники!A1260,"")</f>
        <v/>
      </c>
      <c r="B1253" s="1" t="str">
        <f>IF(Сотрудники!B1260 &lt;&gt; "",Сотрудники!B1260,"")</f>
        <v/>
      </c>
    </row>
    <row r="1254" spans="1:2" s="1" customFormat="1" x14ac:dyDescent="0.25">
      <c r="A1254" s="2" t="str">
        <f>IF(Сотрудники!A1261&lt;&gt;"",Сотрудники!A1261,"")</f>
        <v/>
      </c>
      <c r="B1254" s="1" t="str">
        <f>IF(Сотрудники!B1261 &lt;&gt; "",Сотрудники!B1261,"")</f>
        <v/>
      </c>
    </row>
    <row r="1255" spans="1:2" s="1" customFormat="1" x14ac:dyDescent="0.25">
      <c r="A1255" s="2" t="str">
        <f>IF(Сотрудники!A1262&lt;&gt;"",Сотрудники!A1262,"")</f>
        <v/>
      </c>
      <c r="B1255" s="1" t="str">
        <f>IF(Сотрудники!B1262 &lt;&gt; "",Сотрудники!B1262,"")</f>
        <v/>
      </c>
    </row>
    <row r="1256" spans="1:2" s="1" customFormat="1" x14ac:dyDescent="0.25">
      <c r="A1256" s="2" t="str">
        <f>IF(Сотрудники!A1263&lt;&gt;"",Сотрудники!A1263,"")</f>
        <v/>
      </c>
      <c r="B1256" s="1" t="str">
        <f>IF(Сотрудники!B1263 &lt;&gt; "",Сотрудники!B1263,"")</f>
        <v/>
      </c>
    </row>
    <row r="1257" spans="1:2" s="1" customFormat="1" x14ac:dyDescent="0.25">
      <c r="A1257" s="2" t="str">
        <f>IF(Сотрудники!A1264&lt;&gt;"",Сотрудники!A1264,"")</f>
        <v/>
      </c>
      <c r="B1257" s="1" t="str">
        <f>IF(Сотрудники!B1264 &lt;&gt; "",Сотрудники!B1264,"")</f>
        <v/>
      </c>
    </row>
    <row r="1258" spans="1:2" s="1" customFormat="1" x14ac:dyDescent="0.25">
      <c r="A1258" s="2" t="str">
        <f>IF(Сотрудники!A1265&lt;&gt;"",Сотрудники!A1265,"")</f>
        <v/>
      </c>
      <c r="B1258" s="1" t="str">
        <f>IF(Сотрудники!B1265 &lt;&gt; "",Сотрудники!B1265,"")</f>
        <v/>
      </c>
    </row>
    <row r="1259" spans="1:2" s="1" customFormat="1" x14ac:dyDescent="0.25">
      <c r="A1259" s="2" t="str">
        <f>IF(Сотрудники!A1266&lt;&gt;"",Сотрудники!A1266,"")</f>
        <v/>
      </c>
      <c r="B1259" s="1" t="str">
        <f>IF(Сотрудники!B1266 &lt;&gt; "",Сотрудники!B1266,"")</f>
        <v/>
      </c>
    </row>
    <row r="1260" spans="1:2" s="1" customFormat="1" x14ac:dyDescent="0.25">
      <c r="A1260" s="2" t="str">
        <f>IF(Сотрудники!A1267&lt;&gt;"",Сотрудники!A1267,"")</f>
        <v/>
      </c>
      <c r="B1260" s="1" t="str">
        <f>IF(Сотрудники!B1267 &lt;&gt; "",Сотрудники!B1267,"")</f>
        <v/>
      </c>
    </row>
    <row r="1261" spans="1:2" s="1" customFormat="1" x14ac:dyDescent="0.25">
      <c r="A1261" s="2" t="str">
        <f>IF(Сотрудники!A1268&lt;&gt;"",Сотрудники!A1268,"")</f>
        <v/>
      </c>
      <c r="B1261" s="1" t="str">
        <f>IF(Сотрудники!B1268 &lt;&gt; "",Сотрудники!B1268,"")</f>
        <v/>
      </c>
    </row>
    <row r="1262" spans="1:2" s="1" customFormat="1" x14ac:dyDescent="0.25">
      <c r="A1262" s="2" t="str">
        <f>IF(Сотрудники!A1269&lt;&gt;"",Сотрудники!A1269,"")</f>
        <v/>
      </c>
      <c r="B1262" s="1" t="str">
        <f>IF(Сотрудники!B1269 &lt;&gt; "",Сотрудники!B1269,"")</f>
        <v/>
      </c>
    </row>
    <row r="1263" spans="1:2" s="1" customFormat="1" x14ac:dyDescent="0.25">
      <c r="A1263" s="2" t="str">
        <f>IF(Сотрудники!A1270&lt;&gt;"",Сотрудники!A1270,"")</f>
        <v/>
      </c>
      <c r="B1263" s="1" t="str">
        <f>IF(Сотрудники!B1270 &lt;&gt; "",Сотрудники!B1270,"")</f>
        <v/>
      </c>
    </row>
    <row r="1264" spans="1:2" s="1" customFormat="1" x14ac:dyDescent="0.25">
      <c r="A1264" s="2" t="str">
        <f>IF(Сотрудники!A1271&lt;&gt;"",Сотрудники!A1271,"")</f>
        <v/>
      </c>
      <c r="B1264" s="1" t="str">
        <f>IF(Сотрудники!B1271 &lt;&gt; "",Сотрудники!B1271,"")</f>
        <v/>
      </c>
    </row>
    <row r="1265" spans="1:2" s="1" customFormat="1" x14ac:dyDescent="0.25">
      <c r="A1265" s="2" t="str">
        <f>IF(Сотрудники!A1272&lt;&gt;"",Сотрудники!A1272,"")</f>
        <v/>
      </c>
      <c r="B1265" s="1" t="str">
        <f>IF(Сотрудники!B1272 &lt;&gt; "",Сотрудники!B1272,"")</f>
        <v/>
      </c>
    </row>
    <row r="1266" spans="1:2" s="1" customFormat="1" x14ac:dyDescent="0.25">
      <c r="A1266" s="2" t="str">
        <f>IF(Сотрудники!A1273&lt;&gt;"",Сотрудники!A1273,"")</f>
        <v/>
      </c>
      <c r="B1266" s="1" t="str">
        <f>IF(Сотрудники!B1273 &lt;&gt; "",Сотрудники!B1273,"")</f>
        <v/>
      </c>
    </row>
    <row r="1267" spans="1:2" s="1" customFormat="1" x14ac:dyDescent="0.25">
      <c r="A1267" s="2" t="str">
        <f>IF(Сотрудники!A1274&lt;&gt;"",Сотрудники!A1274,"")</f>
        <v/>
      </c>
      <c r="B1267" s="1" t="str">
        <f>IF(Сотрудники!B1274 &lt;&gt; "",Сотрудники!B1274,"")</f>
        <v/>
      </c>
    </row>
    <row r="1268" spans="1:2" s="1" customFormat="1" x14ac:dyDescent="0.25">
      <c r="A1268" s="2" t="str">
        <f>IF(Сотрудники!A1275&lt;&gt;"",Сотрудники!A1275,"")</f>
        <v/>
      </c>
      <c r="B1268" s="1" t="str">
        <f>IF(Сотрудники!B1275 &lt;&gt; "",Сотрудники!B1275,"")</f>
        <v/>
      </c>
    </row>
    <row r="1269" spans="1:2" s="1" customFormat="1" x14ac:dyDescent="0.25">
      <c r="A1269" s="2" t="str">
        <f>IF(Сотрудники!A1276&lt;&gt;"",Сотрудники!A1276,"")</f>
        <v/>
      </c>
      <c r="B1269" s="1" t="str">
        <f>IF(Сотрудники!B1276 &lt;&gt; "",Сотрудники!B1276,"")</f>
        <v/>
      </c>
    </row>
    <row r="1270" spans="1:2" s="1" customFormat="1" x14ac:dyDescent="0.25">
      <c r="A1270" s="2" t="str">
        <f>IF(Сотрудники!A1277&lt;&gt;"",Сотрудники!A1277,"")</f>
        <v/>
      </c>
      <c r="B1270" s="1" t="str">
        <f>IF(Сотрудники!B1277 &lt;&gt; "",Сотрудники!B1277,"")</f>
        <v/>
      </c>
    </row>
    <row r="1271" spans="1:2" s="1" customFormat="1" x14ac:dyDescent="0.25">
      <c r="A1271" s="2" t="str">
        <f>IF(Сотрудники!A1278&lt;&gt;"",Сотрудники!A1278,"")</f>
        <v/>
      </c>
      <c r="B1271" s="1" t="str">
        <f>IF(Сотрудники!B1278 &lt;&gt; "",Сотрудники!B1278,"")</f>
        <v/>
      </c>
    </row>
    <row r="1272" spans="1:2" s="1" customFormat="1" x14ac:dyDescent="0.25">
      <c r="A1272" s="2" t="str">
        <f>IF(Сотрудники!A1279&lt;&gt;"",Сотрудники!A1279,"")</f>
        <v/>
      </c>
      <c r="B1272" s="1" t="str">
        <f>IF(Сотрудники!B1279 &lt;&gt; "",Сотрудники!B1279,"")</f>
        <v/>
      </c>
    </row>
    <row r="1273" spans="1:2" s="1" customFormat="1" x14ac:dyDescent="0.25">
      <c r="A1273" s="2" t="str">
        <f>IF(Сотрудники!A1280&lt;&gt;"",Сотрудники!A1280,"")</f>
        <v/>
      </c>
      <c r="B1273" s="1" t="str">
        <f>IF(Сотрудники!B1280 &lt;&gt; "",Сотрудники!B1280,"")</f>
        <v/>
      </c>
    </row>
    <row r="1274" spans="1:2" s="1" customFormat="1" x14ac:dyDescent="0.25">
      <c r="A1274" s="2" t="str">
        <f>IF(Сотрудники!A1281&lt;&gt;"",Сотрудники!A1281,"")</f>
        <v/>
      </c>
      <c r="B1274" s="1" t="str">
        <f>IF(Сотрудники!B1281 &lt;&gt; "",Сотрудники!B1281,"")</f>
        <v/>
      </c>
    </row>
    <row r="1275" spans="1:2" s="1" customFormat="1" x14ac:dyDescent="0.25">
      <c r="A1275" s="2" t="str">
        <f>IF(Сотрудники!A1282&lt;&gt;"",Сотрудники!A1282,"")</f>
        <v/>
      </c>
      <c r="B1275" s="1" t="str">
        <f>IF(Сотрудники!B1282 &lt;&gt; "",Сотрудники!B1282,"")</f>
        <v/>
      </c>
    </row>
    <row r="1276" spans="1:2" s="1" customFormat="1" x14ac:dyDescent="0.25">
      <c r="A1276" s="2" t="str">
        <f>IF(Сотрудники!A1283&lt;&gt;"",Сотрудники!A1283,"")</f>
        <v/>
      </c>
      <c r="B1276" s="1" t="str">
        <f>IF(Сотрудники!B1283 &lt;&gt; "",Сотрудники!B1283,"")</f>
        <v/>
      </c>
    </row>
    <row r="1277" spans="1:2" s="1" customFormat="1" x14ac:dyDescent="0.25">
      <c r="A1277" s="2" t="str">
        <f>IF(Сотрудники!A1284&lt;&gt;"",Сотрудники!A1284,"")</f>
        <v/>
      </c>
      <c r="B1277" s="1" t="str">
        <f>IF(Сотрудники!B1284 &lt;&gt; "",Сотрудники!B1284,"")</f>
        <v/>
      </c>
    </row>
    <row r="1278" spans="1:2" s="1" customFormat="1" x14ac:dyDescent="0.25">
      <c r="A1278" s="2" t="str">
        <f>IF(Сотрудники!A1285&lt;&gt;"",Сотрудники!A1285,"")</f>
        <v/>
      </c>
      <c r="B1278" s="1" t="str">
        <f>IF(Сотрудники!B1285 &lt;&gt; "",Сотрудники!B1285,"")</f>
        <v/>
      </c>
    </row>
    <row r="1279" spans="1:2" s="1" customFormat="1" x14ac:dyDescent="0.25">
      <c r="A1279" s="2" t="str">
        <f>IF(Сотрудники!A1286&lt;&gt;"",Сотрудники!A1286,"")</f>
        <v/>
      </c>
      <c r="B1279" s="1" t="str">
        <f>IF(Сотрудники!B1286 &lt;&gt; "",Сотрудники!B1286,"")</f>
        <v/>
      </c>
    </row>
    <row r="1280" spans="1:2" s="1" customFormat="1" x14ac:dyDescent="0.25">
      <c r="A1280" s="2" t="str">
        <f>IF(Сотрудники!A1287&lt;&gt;"",Сотрудники!A1287,"")</f>
        <v/>
      </c>
      <c r="B1280" s="1" t="str">
        <f>IF(Сотрудники!B1287 &lt;&gt; "",Сотрудники!B1287,"")</f>
        <v/>
      </c>
    </row>
    <row r="1281" spans="1:2" s="1" customFormat="1" x14ac:dyDescent="0.25">
      <c r="A1281" s="2" t="str">
        <f>IF(Сотрудники!A1288&lt;&gt;"",Сотрудники!A1288,"")</f>
        <v/>
      </c>
      <c r="B1281" s="1" t="str">
        <f>IF(Сотрудники!B1288 &lt;&gt; "",Сотрудники!B1288,"")</f>
        <v/>
      </c>
    </row>
    <row r="1282" spans="1:2" s="1" customFormat="1" x14ac:dyDescent="0.25">
      <c r="A1282" s="2" t="str">
        <f>IF(Сотрудники!A1289&lt;&gt;"",Сотрудники!A1289,"")</f>
        <v/>
      </c>
      <c r="B1282" s="1" t="str">
        <f>IF(Сотрудники!B1289 &lt;&gt; "",Сотрудники!B1289,"")</f>
        <v/>
      </c>
    </row>
    <row r="1283" spans="1:2" s="1" customFormat="1" x14ac:dyDescent="0.25">
      <c r="A1283" s="2" t="str">
        <f>IF(Сотрудники!A1290&lt;&gt;"",Сотрудники!A1290,"")</f>
        <v/>
      </c>
      <c r="B1283" s="1" t="str">
        <f>IF(Сотрудники!B1290 &lt;&gt; "",Сотрудники!B1290,"")</f>
        <v/>
      </c>
    </row>
    <row r="1284" spans="1:2" s="1" customFormat="1" x14ac:dyDescent="0.25">
      <c r="A1284" s="2" t="str">
        <f>IF(Сотрудники!A1291&lt;&gt;"",Сотрудники!A1291,"")</f>
        <v/>
      </c>
      <c r="B1284" s="1" t="str">
        <f>IF(Сотрудники!B1291 &lt;&gt; "",Сотрудники!B1291,"")</f>
        <v/>
      </c>
    </row>
    <row r="1285" spans="1:2" s="1" customFormat="1" x14ac:dyDescent="0.25">
      <c r="A1285" s="2" t="str">
        <f>IF(Сотрудники!A1292&lt;&gt;"",Сотрудники!A1292,"")</f>
        <v/>
      </c>
      <c r="B1285" s="1" t="str">
        <f>IF(Сотрудники!B1292 &lt;&gt; "",Сотрудники!B1292,"")</f>
        <v/>
      </c>
    </row>
    <row r="1286" spans="1:2" s="1" customFormat="1" x14ac:dyDescent="0.25">
      <c r="A1286" s="2" t="str">
        <f>IF(Сотрудники!A1293&lt;&gt;"",Сотрудники!A1293,"")</f>
        <v/>
      </c>
      <c r="B1286" s="1" t="str">
        <f>IF(Сотрудники!B1293 &lt;&gt; "",Сотрудники!B1293,"")</f>
        <v/>
      </c>
    </row>
    <row r="1287" spans="1:2" s="1" customFormat="1" x14ac:dyDescent="0.25">
      <c r="A1287" s="2" t="str">
        <f>IF(Сотрудники!A1294&lt;&gt;"",Сотрудники!A1294,"")</f>
        <v/>
      </c>
      <c r="B1287" s="1" t="str">
        <f>IF(Сотрудники!B1294 &lt;&gt; "",Сотрудники!B1294,"")</f>
        <v/>
      </c>
    </row>
    <row r="1288" spans="1:2" s="1" customFormat="1" x14ac:dyDescent="0.25">
      <c r="A1288" s="2" t="str">
        <f>IF(Сотрудники!A1295&lt;&gt;"",Сотрудники!A1295,"")</f>
        <v/>
      </c>
      <c r="B1288" s="1" t="str">
        <f>IF(Сотрудники!B1295 &lt;&gt; "",Сотрудники!B1295,"")</f>
        <v/>
      </c>
    </row>
    <row r="1289" spans="1:2" s="1" customFormat="1" x14ac:dyDescent="0.25">
      <c r="A1289" s="2" t="str">
        <f>IF(Сотрудники!A1296&lt;&gt;"",Сотрудники!A1296,"")</f>
        <v/>
      </c>
      <c r="B1289" s="1" t="str">
        <f>IF(Сотрудники!B1296 &lt;&gt; "",Сотрудники!B1296,"")</f>
        <v/>
      </c>
    </row>
    <row r="1290" spans="1:2" s="1" customFormat="1" x14ac:dyDescent="0.25">
      <c r="A1290" s="2" t="str">
        <f>IF(Сотрудники!A1297&lt;&gt;"",Сотрудники!A1297,"")</f>
        <v/>
      </c>
      <c r="B1290" s="1" t="str">
        <f>IF(Сотрудники!B1297 &lt;&gt; "",Сотрудники!B1297,"")</f>
        <v/>
      </c>
    </row>
    <row r="1291" spans="1:2" s="1" customFormat="1" x14ac:dyDescent="0.25">
      <c r="A1291" s="2" t="str">
        <f>IF(Сотрудники!A1298&lt;&gt;"",Сотрудники!A1298,"")</f>
        <v/>
      </c>
      <c r="B1291" s="1" t="str">
        <f>IF(Сотрудники!B1298 &lt;&gt; "",Сотрудники!B1298,"")</f>
        <v/>
      </c>
    </row>
    <row r="1292" spans="1:2" s="1" customFormat="1" x14ac:dyDescent="0.25">
      <c r="A1292" s="2" t="str">
        <f>IF(Сотрудники!A1299&lt;&gt;"",Сотрудники!A1299,"")</f>
        <v/>
      </c>
      <c r="B1292" s="1" t="str">
        <f>IF(Сотрудники!B1299 &lt;&gt; "",Сотрудники!B1299,"")</f>
        <v/>
      </c>
    </row>
    <row r="1293" spans="1:2" s="1" customFormat="1" x14ac:dyDescent="0.25">
      <c r="A1293" s="2" t="str">
        <f>IF(Сотрудники!A1300&lt;&gt;"",Сотрудники!A1300,"")</f>
        <v/>
      </c>
      <c r="B1293" s="1" t="str">
        <f>IF(Сотрудники!B1300 &lt;&gt; "",Сотрудники!B1300,"")</f>
        <v/>
      </c>
    </row>
    <row r="1294" spans="1:2" s="1" customFormat="1" x14ac:dyDescent="0.25">
      <c r="A1294" s="2" t="str">
        <f>IF(Сотрудники!A1301&lt;&gt;"",Сотрудники!A1301,"")</f>
        <v/>
      </c>
      <c r="B1294" s="1" t="str">
        <f>IF(Сотрудники!B1301 &lt;&gt; "",Сотрудники!B1301,"")</f>
        <v/>
      </c>
    </row>
    <row r="1295" spans="1:2" s="1" customFormat="1" x14ac:dyDescent="0.25">
      <c r="A1295" s="2" t="str">
        <f>IF(Сотрудники!A1302&lt;&gt;"",Сотрудники!A1302,"")</f>
        <v/>
      </c>
      <c r="B1295" s="1" t="str">
        <f>IF(Сотрудники!B1302 &lt;&gt; "",Сотрудники!B1302,"")</f>
        <v/>
      </c>
    </row>
    <row r="1296" spans="1:2" s="1" customFormat="1" x14ac:dyDescent="0.25">
      <c r="A1296" s="2" t="str">
        <f>IF(Сотрудники!A1303&lt;&gt;"",Сотрудники!A1303,"")</f>
        <v/>
      </c>
      <c r="B1296" s="1" t="str">
        <f>IF(Сотрудники!B1303 &lt;&gt; "",Сотрудники!B1303,"")</f>
        <v/>
      </c>
    </row>
    <row r="1297" spans="1:2" s="1" customFormat="1" x14ac:dyDescent="0.25">
      <c r="A1297" s="2" t="str">
        <f>IF(Сотрудники!A1304&lt;&gt;"",Сотрудники!A1304,"")</f>
        <v/>
      </c>
      <c r="B1297" s="1" t="str">
        <f>IF(Сотрудники!B1304 &lt;&gt; "",Сотрудники!B1304,"")</f>
        <v/>
      </c>
    </row>
    <row r="1298" spans="1:2" s="1" customFormat="1" x14ac:dyDescent="0.25">
      <c r="A1298" s="2" t="str">
        <f>IF(Сотрудники!A1305&lt;&gt;"",Сотрудники!A1305,"")</f>
        <v/>
      </c>
      <c r="B1298" s="1" t="str">
        <f>IF(Сотрудники!B1305 &lt;&gt; "",Сотрудники!B1305,"")</f>
        <v/>
      </c>
    </row>
    <row r="1299" spans="1:2" s="1" customFormat="1" x14ac:dyDescent="0.25">
      <c r="A1299" s="2" t="str">
        <f>IF(Сотрудники!A1306&lt;&gt;"",Сотрудники!A1306,"")</f>
        <v/>
      </c>
      <c r="B1299" s="1" t="str">
        <f>IF(Сотрудники!B1306 &lt;&gt; "",Сотрудники!B1306,"")</f>
        <v/>
      </c>
    </row>
    <row r="1300" spans="1:2" s="1" customFormat="1" x14ac:dyDescent="0.25">
      <c r="A1300" s="2" t="str">
        <f>IF(Сотрудники!A1307&lt;&gt;"",Сотрудники!A1307,"")</f>
        <v/>
      </c>
      <c r="B1300" s="1" t="str">
        <f>IF(Сотрудники!B1307 &lt;&gt; "",Сотрудники!B1307,"")</f>
        <v/>
      </c>
    </row>
    <row r="1301" spans="1:2" s="1" customFormat="1" x14ac:dyDescent="0.25">
      <c r="A1301" s="2" t="str">
        <f>IF(Сотрудники!A1308&lt;&gt;"",Сотрудники!A1308,"")</f>
        <v/>
      </c>
      <c r="B1301" s="1" t="str">
        <f>IF(Сотрудники!B1308 &lt;&gt; "",Сотрудники!B1308,"")</f>
        <v/>
      </c>
    </row>
    <row r="1302" spans="1:2" s="1" customFormat="1" x14ac:dyDescent="0.25">
      <c r="A1302" s="2" t="str">
        <f>IF(Сотрудники!A1309&lt;&gt;"",Сотрудники!A1309,"")</f>
        <v/>
      </c>
      <c r="B1302" s="1" t="str">
        <f>IF(Сотрудники!B1309 &lt;&gt; "",Сотрудники!B1309,"")</f>
        <v/>
      </c>
    </row>
    <row r="1303" spans="1:2" s="1" customFormat="1" x14ac:dyDescent="0.25">
      <c r="A1303" s="2" t="str">
        <f>IF(Сотрудники!A1310&lt;&gt;"",Сотрудники!A1310,"")</f>
        <v/>
      </c>
      <c r="B1303" s="1" t="str">
        <f>IF(Сотрудники!B1310 &lt;&gt; "",Сотрудники!B1310,"")</f>
        <v/>
      </c>
    </row>
    <row r="1304" spans="1:2" s="1" customFormat="1" x14ac:dyDescent="0.25">
      <c r="A1304" s="2" t="str">
        <f>IF(Сотрудники!A1311&lt;&gt;"",Сотрудники!A1311,"")</f>
        <v/>
      </c>
      <c r="B1304" s="1" t="str">
        <f>IF(Сотрудники!B1311 &lt;&gt; "",Сотрудники!B1311,"")</f>
        <v/>
      </c>
    </row>
    <row r="1305" spans="1:2" s="1" customFormat="1" x14ac:dyDescent="0.25">
      <c r="A1305" s="2" t="str">
        <f>IF(Сотрудники!A1312&lt;&gt;"",Сотрудники!A1312,"")</f>
        <v/>
      </c>
      <c r="B1305" s="1" t="str">
        <f>IF(Сотрудники!B1312 &lt;&gt; "",Сотрудники!B1312,"")</f>
        <v/>
      </c>
    </row>
    <row r="1306" spans="1:2" s="1" customFormat="1" x14ac:dyDescent="0.25">
      <c r="A1306" s="2" t="str">
        <f>IF(Сотрудники!A1313&lt;&gt;"",Сотрудники!A1313,"")</f>
        <v/>
      </c>
      <c r="B1306" s="1" t="str">
        <f>IF(Сотрудники!B1313 &lt;&gt; "",Сотрудники!B1313,"")</f>
        <v/>
      </c>
    </row>
    <row r="1307" spans="1:2" s="1" customFormat="1" x14ac:dyDescent="0.25">
      <c r="A1307" s="2" t="str">
        <f>IF(Сотрудники!A1314&lt;&gt;"",Сотрудники!A1314,"")</f>
        <v/>
      </c>
      <c r="B1307" s="1" t="str">
        <f>IF(Сотрудники!B1314 &lt;&gt; "",Сотрудники!B1314,"")</f>
        <v/>
      </c>
    </row>
    <row r="1308" spans="1:2" s="1" customFormat="1" x14ac:dyDescent="0.25">
      <c r="A1308" s="2" t="str">
        <f>IF(Сотрудники!A1315&lt;&gt;"",Сотрудники!A1315,"")</f>
        <v/>
      </c>
      <c r="B1308" s="1" t="str">
        <f>IF(Сотрудники!B1315 &lt;&gt; "",Сотрудники!B1315,"")</f>
        <v/>
      </c>
    </row>
    <row r="1309" spans="1:2" s="1" customFormat="1" x14ac:dyDescent="0.25">
      <c r="A1309" s="2" t="str">
        <f>IF(Сотрудники!A1316&lt;&gt;"",Сотрудники!A1316,"")</f>
        <v/>
      </c>
      <c r="B1309" s="1" t="str">
        <f>IF(Сотрудники!B1316 &lt;&gt; "",Сотрудники!B1316,"")</f>
        <v/>
      </c>
    </row>
    <row r="1310" spans="1:2" s="1" customFormat="1" x14ac:dyDescent="0.25">
      <c r="A1310" s="2" t="str">
        <f>IF(Сотрудники!A1317&lt;&gt;"",Сотрудники!A1317,"")</f>
        <v/>
      </c>
      <c r="B1310" s="1" t="str">
        <f>IF(Сотрудники!B1317 &lt;&gt; "",Сотрудники!B1317,"")</f>
        <v/>
      </c>
    </row>
    <row r="1311" spans="1:2" s="1" customFormat="1" x14ac:dyDescent="0.25">
      <c r="A1311" s="2" t="str">
        <f>IF(Сотрудники!A1318&lt;&gt;"",Сотрудники!A1318,"")</f>
        <v/>
      </c>
      <c r="B1311" s="1" t="str">
        <f>IF(Сотрудники!B1318 &lt;&gt; "",Сотрудники!B1318,"")</f>
        <v/>
      </c>
    </row>
    <row r="1312" spans="1:2" s="1" customFormat="1" x14ac:dyDescent="0.25">
      <c r="A1312" s="2" t="str">
        <f>IF(Сотрудники!A1319&lt;&gt;"",Сотрудники!A1319,"")</f>
        <v/>
      </c>
      <c r="B1312" s="1" t="str">
        <f>IF(Сотрудники!B1319 &lt;&gt; "",Сотрудники!B1319,"")</f>
        <v/>
      </c>
    </row>
    <row r="1313" spans="1:2" s="1" customFormat="1" x14ac:dyDescent="0.25">
      <c r="A1313" s="2" t="str">
        <f>IF(Сотрудники!A1320&lt;&gt;"",Сотрудники!A1320,"")</f>
        <v/>
      </c>
      <c r="B1313" s="1" t="str">
        <f>IF(Сотрудники!B1320 &lt;&gt; "",Сотрудники!B1320,"")</f>
        <v/>
      </c>
    </row>
    <row r="1314" spans="1:2" s="1" customFormat="1" x14ac:dyDescent="0.25">
      <c r="A1314" s="2" t="str">
        <f>IF(Сотрудники!A1321&lt;&gt;"",Сотрудники!A1321,"")</f>
        <v/>
      </c>
      <c r="B1314" s="1" t="str">
        <f>IF(Сотрудники!B1321 &lt;&gt; "",Сотрудники!B1321,"")</f>
        <v/>
      </c>
    </row>
    <row r="1315" spans="1:2" s="1" customFormat="1" x14ac:dyDescent="0.25">
      <c r="A1315" s="2" t="str">
        <f>IF(Сотрудники!A1322&lt;&gt;"",Сотрудники!A1322,"")</f>
        <v/>
      </c>
      <c r="B1315" s="1" t="str">
        <f>IF(Сотрудники!B1322 &lt;&gt; "",Сотрудники!B1322,"")</f>
        <v/>
      </c>
    </row>
    <row r="1316" spans="1:2" s="1" customFormat="1" x14ac:dyDescent="0.25">
      <c r="A1316" s="2" t="str">
        <f>IF(Сотрудники!A1323&lt;&gt;"",Сотрудники!A1323,"")</f>
        <v/>
      </c>
      <c r="B1316" s="1" t="str">
        <f>IF(Сотрудники!B1323 &lt;&gt; "",Сотрудники!B1323,"")</f>
        <v/>
      </c>
    </row>
    <row r="1317" spans="1:2" s="1" customFormat="1" x14ac:dyDescent="0.25">
      <c r="A1317" s="2" t="str">
        <f>IF(Сотрудники!A1324&lt;&gt;"",Сотрудники!A1324,"")</f>
        <v/>
      </c>
      <c r="B1317" s="1" t="str">
        <f>IF(Сотрудники!B1324 &lt;&gt; "",Сотрудники!B1324,"")</f>
        <v/>
      </c>
    </row>
    <row r="1318" spans="1:2" s="1" customFormat="1" x14ac:dyDescent="0.25">
      <c r="A1318" s="2" t="str">
        <f>IF(Сотрудники!A1325&lt;&gt;"",Сотрудники!A1325,"")</f>
        <v/>
      </c>
      <c r="B1318" s="1" t="str">
        <f>IF(Сотрудники!B1325 &lt;&gt; "",Сотрудники!B1325,"")</f>
        <v/>
      </c>
    </row>
    <row r="1319" spans="1:2" s="1" customFormat="1" x14ac:dyDescent="0.25">
      <c r="A1319" s="2" t="str">
        <f>IF(Сотрудники!A1326&lt;&gt;"",Сотрудники!A1326,"")</f>
        <v/>
      </c>
      <c r="B1319" s="1" t="str">
        <f>IF(Сотрудники!B1326 &lt;&gt; "",Сотрудники!B1326,"")</f>
        <v/>
      </c>
    </row>
    <row r="1320" spans="1:2" s="1" customFormat="1" x14ac:dyDescent="0.25">
      <c r="A1320" s="2" t="str">
        <f>IF(Сотрудники!A1327&lt;&gt;"",Сотрудники!A1327,"")</f>
        <v/>
      </c>
      <c r="B1320" s="1" t="str">
        <f>IF(Сотрудники!B1327 &lt;&gt; "",Сотрудники!B1327,"")</f>
        <v/>
      </c>
    </row>
    <row r="1321" spans="1:2" s="1" customFormat="1" x14ac:dyDescent="0.25">
      <c r="A1321" s="2" t="str">
        <f>IF(Сотрудники!A1328&lt;&gt;"",Сотрудники!A1328,"")</f>
        <v/>
      </c>
      <c r="B1321" s="1" t="str">
        <f>IF(Сотрудники!B1328 &lt;&gt; "",Сотрудники!B1328,"")</f>
        <v/>
      </c>
    </row>
    <row r="1322" spans="1:2" s="1" customFormat="1" x14ac:dyDescent="0.25">
      <c r="A1322" s="2" t="str">
        <f>IF(Сотрудники!A1329&lt;&gt;"",Сотрудники!A1329,"")</f>
        <v/>
      </c>
      <c r="B1322" s="1" t="str">
        <f>IF(Сотрудники!B1329 &lt;&gt; "",Сотрудники!B1329,"")</f>
        <v/>
      </c>
    </row>
    <row r="1323" spans="1:2" s="1" customFormat="1" x14ac:dyDescent="0.25">
      <c r="A1323" s="2" t="str">
        <f>IF(Сотрудники!A1330&lt;&gt;"",Сотрудники!A1330,"")</f>
        <v/>
      </c>
      <c r="B1323" s="1" t="str">
        <f>IF(Сотрудники!B1330 &lt;&gt; "",Сотрудники!B1330,"")</f>
        <v/>
      </c>
    </row>
    <row r="1324" spans="1:2" s="1" customFormat="1" x14ac:dyDescent="0.25">
      <c r="A1324" s="2" t="str">
        <f>IF(Сотрудники!A1331&lt;&gt;"",Сотрудники!A1331,"")</f>
        <v/>
      </c>
      <c r="B1324" s="1" t="str">
        <f>IF(Сотрудники!B1331 &lt;&gt; "",Сотрудники!B1331,"")</f>
        <v/>
      </c>
    </row>
    <row r="1325" spans="1:2" s="1" customFormat="1" x14ac:dyDescent="0.25">
      <c r="A1325" s="2" t="str">
        <f>IF(Сотрудники!A1332&lt;&gt;"",Сотрудники!A1332,"")</f>
        <v/>
      </c>
      <c r="B1325" s="1" t="str">
        <f>IF(Сотрудники!B1332 &lt;&gt; "",Сотрудники!B1332,"")</f>
        <v/>
      </c>
    </row>
    <row r="1326" spans="1:2" s="1" customFormat="1" x14ac:dyDescent="0.25">
      <c r="A1326" s="2" t="str">
        <f>IF(Сотрудники!A1333&lt;&gt;"",Сотрудники!A1333,"")</f>
        <v/>
      </c>
      <c r="B1326" s="1" t="str">
        <f>IF(Сотрудники!B1333 &lt;&gt; "",Сотрудники!B1333,"")</f>
        <v/>
      </c>
    </row>
    <row r="1327" spans="1:2" s="1" customFormat="1" x14ac:dyDescent="0.25">
      <c r="A1327" s="2" t="str">
        <f>IF(Сотрудники!A1334&lt;&gt;"",Сотрудники!A1334,"")</f>
        <v/>
      </c>
      <c r="B1327" s="1" t="str">
        <f>IF(Сотрудники!B1334 &lt;&gt; "",Сотрудники!B1334,"")</f>
        <v/>
      </c>
    </row>
    <row r="1328" spans="1:2" s="1" customFormat="1" x14ac:dyDescent="0.25">
      <c r="A1328" s="2" t="str">
        <f>IF(Сотрудники!A1335&lt;&gt;"",Сотрудники!A1335,"")</f>
        <v/>
      </c>
      <c r="B1328" s="1" t="str">
        <f>IF(Сотрудники!B1335 &lt;&gt; "",Сотрудники!B1335,"")</f>
        <v/>
      </c>
    </row>
    <row r="1329" spans="1:2" s="1" customFormat="1" x14ac:dyDescent="0.25">
      <c r="A1329" s="2" t="str">
        <f>IF(Сотрудники!A1336&lt;&gt;"",Сотрудники!A1336,"")</f>
        <v/>
      </c>
      <c r="B1329" s="1" t="str">
        <f>IF(Сотрудники!B1336 &lt;&gt; "",Сотрудники!B1336,"")</f>
        <v/>
      </c>
    </row>
    <row r="1330" spans="1:2" s="1" customFormat="1" x14ac:dyDescent="0.25">
      <c r="A1330" s="2" t="str">
        <f>IF(Сотрудники!A1337&lt;&gt;"",Сотрудники!A1337,"")</f>
        <v/>
      </c>
      <c r="B1330" s="1" t="str">
        <f>IF(Сотрудники!B1337 &lt;&gt; "",Сотрудники!B1337,"")</f>
        <v/>
      </c>
    </row>
    <row r="1331" spans="1:2" s="1" customFormat="1" x14ac:dyDescent="0.25">
      <c r="A1331" s="2" t="str">
        <f>IF(Сотрудники!A1338&lt;&gt;"",Сотрудники!A1338,"")</f>
        <v/>
      </c>
      <c r="B1331" s="1" t="str">
        <f>IF(Сотрудники!B1338 &lt;&gt; "",Сотрудники!B1338,"")</f>
        <v/>
      </c>
    </row>
    <row r="1332" spans="1:2" s="1" customFormat="1" x14ac:dyDescent="0.25">
      <c r="A1332" s="2" t="str">
        <f>IF(Сотрудники!A1339&lt;&gt;"",Сотрудники!A1339,"")</f>
        <v/>
      </c>
      <c r="B1332" s="1" t="str">
        <f>IF(Сотрудники!B1339 &lt;&gt; "",Сотрудники!B1339,"")</f>
        <v/>
      </c>
    </row>
    <row r="1333" spans="1:2" s="1" customFormat="1" x14ac:dyDescent="0.25">
      <c r="A1333" s="2" t="str">
        <f>IF(Сотрудники!A1340&lt;&gt;"",Сотрудники!A1340,"")</f>
        <v/>
      </c>
      <c r="B1333" s="1" t="str">
        <f>IF(Сотрудники!B1340 &lt;&gt; "",Сотрудники!B1340,"")</f>
        <v/>
      </c>
    </row>
    <row r="1334" spans="1:2" s="1" customFormat="1" x14ac:dyDescent="0.25">
      <c r="A1334" s="2" t="str">
        <f>IF(Сотрудники!A1341&lt;&gt;"",Сотрудники!A1341,"")</f>
        <v/>
      </c>
      <c r="B1334" s="1" t="str">
        <f>IF(Сотрудники!B1341 &lt;&gt; "",Сотрудники!B1341,"")</f>
        <v/>
      </c>
    </row>
    <row r="1335" spans="1:2" s="1" customFormat="1" x14ac:dyDescent="0.25">
      <c r="A1335" s="2" t="str">
        <f>IF(Сотрудники!A1342&lt;&gt;"",Сотрудники!A1342,"")</f>
        <v/>
      </c>
      <c r="B1335" s="1" t="str">
        <f>IF(Сотрудники!B1342 &lt;&gt; "",Сотрудники!B1342,"")</f>
        <v/>
      </c>
    </row>
    <row r="1336" spans="1:2" s="1" customFormat="1" x14ac:dyDescent="0.25">
      <c r="A1336" s="2" t="str">
        <f>IF(Сотрудники!A1343&lt;&gt;"",Сотрудники!A1343,"")</f>
        <v/>
      </c>
      <c r="B1336" s="1" t="str">
        <f>IF(Сотрудники!B1343 &lt;&gt; "",Сотрудники!B1343,"")</f>
        <v/>
      </c>
    </row>
    <row r="1337" spans="1:2" s="1" customFormat="1" x14ac:dyDescent="0.25">
      <c r="A1337" s="2" t="str">
        <f>IF(Сотрудники!A1344&lt;&gt;"",Сотрудники!A1344,"")</f>
        <v/>
      </c>
      <c r="B1337" s="1" t="str">
        <f>IF(Сотрудники!B1344 &lt;&gt; "",Сотрудники!B1344,"")</f>
        <v/>
      </c>
    </row>
    <row r="1338" spans="1:2" s="1" customFormat="1" x14ac:dyDescent="0.25">
      <c r="A1338" s="2" t="str">
        <f>IF(Сотрудники!A1345&lt;&gt;"",Сотрудники!A1345,"")</f>
        <v/>
      </c>
      <c r="B1338" s="1" t="str">
        <f>IF(Сотрудники!B1345 &lt;&gt; "",Сотрудники!B1345,"")</f>
        <v/>
      </c>
    </row>
    <row r="1339" spans="1:2" s="1" customFormat="1" x14ac:dyDescent="0.25">
      <c r="A1339" s="2" t="str">
        <f>IF(Сотрудники!A1346&lt;&gt;"",Сотрудники!A1346,"")</f>
        <v/>
      </c>
      <c r="B1339" s="1" t="str">
        <f>IF(Сотрудники!B1346 &lt;&gt; "",Сотрудники!B1346,"")</f>
        <v/>
      </c>
    </row>
    <row r="1340" spans="1:2" s="1" customFormat="1" x14ac:dyDescent="0.25">
      <c r="A1340" s="2" t="str">
        <f>IF(Сотрудники!A1347&lt;&gt;"",Сотрудники!A1347,"")</f>
        <v/>
      </c>
      <c r="B1340" s="1" t="str">
        <f>IF(Сотрудники!B1347 &lt;&gt; "",Сотрудники!B1347,"")</f>
        <v/>
      </c>
    </row>
    <row r="1341" spans="1:2" s="1" customFormat="1" x14ac:dyDescent="0.25">
      <c r="A1341" s="2" t="str">
        <f>IF(Сотрудники!A1348&lt;&gt;"",Сотрудники!A1348,"")</f>
        <v/>
      </c>
      <c r="B1341" s="1" t="str">
        <f>IF(Сотрудники!B1348 &lt;&gt; "",Сотрудники!B1348,"")</f>
        <v/>
      </c>
    </row>
    <row r="1342" spans="1:2" s="1" customFormat="1" x14ac:dyDescent="0.25">
      <c r="A1342" s="2" t="str">
        <f>IF(Сотрудники!A1349&lt;&gt;"",Сотрудники!A1349,"")</f>
        <v/>
      </c>
      <c r="B1342" s="1" t="str">
        <f>IF(Сотрудники!B1349 &lt;&gt; "",Сотрудники!B1349,"")</f>
        <v/>
      </c>
    </row>
    <row r="1343" spans="1:2" s="1" customFormat="1" x14ac:dyDescent="0.25">
      <c r="A1343" s="2" t="str">
        <f>IF(Сотрудники!A1350&lt;&gt;"",Сотрудники!A1350,"")</f>
        <v/>
      </c>
      <c r="B1343" s="1" t="str">
        <f>IF(Сотрудники!B1350 &lt;&gt; "",Сотрудники!B1350,"")</f>
        <v/>
      </c>
    </row>
    <row r="1344" spans="1:2" s="1" customFormat="1" x14ac:dyDescent="0.25">
      <c r="A1344" s="2" t="str">
        <f>IF(Сотрудники!A1351&lt;&gt;"",Сотрудники!A1351,"")</f>
        <v/>
      </c>
      <c r="B1344" s="1" t="str">
        <f>IF(Сотрудники!B1351 &lt;&gt; "",Сотрудники!B1351,"")</f>
        <v/>
      </c>
    </row>
    <row r="1345" spans="1:2" s="1" customFormat="1" x14ac:dyDescent="0.25">
      <c r="A1345" s="2" t="str">
        <f>IF(Сотрудники!A1352&lt;&gt;"",Сотрудники!A1352,"")</f>
        <v/>
      </c>
      <c r="B1345" s="1" t="str">
        <f>IF(Сотрудники!B1352 &lt;&gt; "",Сотрудники!B1352,"")</f>
        <v/>
      </c>
    </row>
    <row r="1346" spans="1:2" s="1" customFormat="1" x14ac:dyDescent="0.25">
      <c r="A1346" s="2" t="str">
        <f>IF(Сотрудники!A1353&lt;&gt;"",Сотрудники!A1353,"")</f>
        <v/>
      </c>
      <c r="B1346" s="1" t="str">
        <f>IF(Сотрудники!B1353 &lt;&gt; "",Сотрудники!B1353,"")</f>
        <v/>
      </c>
    </row>
    <row r="1347" spans="1:2" s="1" customFormat="1" x14ac:dyDescent="0.25">
      <c r="A1347" s="2" t="str">
        <f>IF(Сотрудники!A1354&lt;&gt;"",Сотрудники!A1354,"")</f>
        <v/>
      </c>
      <c r="B1347" s="1" t="str">
        <f>IF(Сотрудники!B1354 &lt;&gt; "",Сотрудники!B1354,"")</f>
        <v/>
      </c>
    </row>
    <row r="1348" spans="1:2" s="1" customFormat="1" x14ac:dyDescent="0.25">
      <c r="A1348" s="2" t="str">
        <f>IF(Сотрудники!A1355&lt;&gt;"",Сотрудники!A1355,"")</f>
        <v/>
      </c>
      <c r="B1348" s="1" t="str">
        <f>IF(Сотрудники!B1355 &lt;&gt; "",Сотрудники!B1355,"")</f>
        <v/>
      </c>
    </row>
    <row r="1349" spans="1:2" s="1" customFormat="1" x14ac:dyDescent="0.25">
      <c r="A1349" s="2" t="str">
        <f>IF(Сотрудники!A1356&lt;&gt;"",Сотрудники!A1356,"")</f>
        <v/>
      </c>
      <c r="B1349" s="1" t="str">
        <f>IF(Сотрудники!B1356 &lt;&gt; "",Сотрудники!B1356,"")</f>
        <v/>
      </c>
    </row>
    <row r="1350" spans="1:2" s="1" customFormat="1" x14ac:dyDescent="0.25">
      <c r="A1350" s="2" t="str">
        <f>IF(Сотрудники!A1357&lt;&gt;"",Сотрудники!A1357,"")</f>
        <v/>
      </c>
      <c r="B1350" s="1" t="str">
        <f>IF(Сотрудники!B1357 &lt;&gt; "",Сотрудники!B1357,"")</f>
        <v/>
      </c>
    </row>
    <row r="1351" spans="1:2" s="1" customFormat="1" x14ac:dyDescent="0.25">
      <c r="A1351" s="2" t="str">
        <f>IF(Сотрудники!A1358&lt;&gt;"",Сотрудники!A1358,"")</f>
        <v/>
      </c>
      <c r="B1351" s="1" t="str">
        <f>IF(Сотрудники!B1358 &lt;&gt; "",Сотрудники!B1358,"")</f>
        <v/>
      </c>
    </row>
    <row r="1352" spans="1:2" s="1" customFormat="1" x14ac:dyDescent="0.25">
      <c r="A1352" s="2" t="str">
        <f>IF(Сотрудники!A1359&lt;&gt;"",Сотрудники!A1359,"")</f>
        <v/>
      </c>
      <c r="B1352" s="1" t="str">
        <f>IF(Сотрудники!B1359 &lt;&gt; "",Сотрудники!B1359,"")</f>
        <v/>
      </c>
    </row>
    <row r="1353" spans="1:2" s="1" customFormat="1" x14ac:dyDescent="0.25">
      <c r="A1353" s="2" t="str">
        <f>IF(Сотрудники!A1360&lt;&gt;"",Сотрудники!A1360,"")</f>
        <v/>
      </c>
      <c r="B1353" s="1" t="str">
        <f>IF(Сотрудники!B1360 &lt;&gt; "",Сотрудники!B1360,"")</f>
        <v/>
      </c>
    </row>
    <row r="1354" spans="1:2" s="1" customFormat="1" x14ac:dyDescent="0.25">
      <c r="A1354" s="2" t="str">
        <f>IF(Сотрудники!A1361&lt;&gt;"",Сотрудники!A1361,"")</f>
        <v/>
      </c>
      <c r="B1354" s="1" t="str">
        <f>IF(Сотрудники!B1361 &lt;&gt; "",Сотрудники!B1361,"")</f>
        <v/>
      </c>
    </row>
    <row r="1355" spans="1:2" s="1" customFormat="1" x14ac:dyDescent="0.25">
      <c r="A1355" s="2" t="str">
        <f>IF(Сотрудники!A1362&lt;&gt;"",Сотрудники!A1362,"")</f>
        <v/>
      </c>
      <c r="B1355" s="1" t="str">
        <f>IF(Сотрудники!B1362 &lt;&gt; "",Сотрудники!B1362,"")</f>
        <v/>
      </c>
    </row>
    <row r="1356" spans="1:2" s="1" customFormat="1" x14ac:dyDescent="0.25">
      <c r="A1356" s="2" t="str">
        <f>IF(Сотрудники!A1363&lt;&gt;"",Сотрудники!A1363,"")</f>
        <v/>
      </c>
      <c r="B1356" s="1" t="str">
        <f>IF(Сотрудники!B1363 &lt;&gt; "",Сотрудники!B1363,"")</f>
        <v/>
      </c>
    </row>
    <row r="1357" spans="1:2" s="1" customFormat="1" x14ac:dyDescent="0.25">
      <c r="A1357" s="2" t="str">
        <f>IF(Сотрудники!A1364&lt;&gt;"",Сотрудники!A1364,"")</f>
        <v/>
      </c>
      <c r="B1357" s="1" t="str">
        <f>IF(Сотрудники!B1364 &lt;&gt; "",Сотрудники!B1364,"")</f>
        <v/>
      </c>
    </row>
    <row r="1358" spans="1:2" s="1" customFormat="1" x14ac:dyDescent="0.25">
      <c r="A1358" s="2" t="str">
        <f>IF(Сотрудники!A1365&lt;&gt;"",Сотрудники!A1365,"")</f>
        <v/>
      </c>
      <c r="B1358" s="1" t="str">
        <f>IF(Сотрудники!B1365 &lt;&gt; "",Сотрудники!B1365,"")</f>
        <v/>
      </c>
    </row>
    <row r="1359" spans="1:2" s="1" customFormat="1" x14ac:dyDescent="0.25">
      <c r="A1359" s="2" t="str">
        <f>IF(Сотрудники!A1366&lt;&gt;"",Сотрудники!A1366,"")</f>
        <v/>
      </c>
      <c r="B1359" s="1" t="str">
        <f>IF(Сотрудники!B1366 &lt;&gt; "",Сотрудники!B1366,"")</f>
        <v/>
      </c>
    </row>
    <row r="1360" spans="1:2" s="1" customFormat="1" x14ac:dyDescent="0.25">
      <c r="A1360" s="2" t="str">
        <f>IF(Сотрудники!A1367&lt;&gt;"",Сотрудники!A1367,"")</f>
        <v/>
      </c>
      <c r="B1360" s="1" t="str">
        <f>IF(Сотрудники!B1367 &lt;&gt; "",Сотрудники!B1367,"")</f>
        <v/>
      </c>
    </row>
    <row r="1361" spans="1:2" s="1" customFormat="1" x14ac:dyDescent="0.25">
      <c r="A1361" s="2" t="str">
        <f>IF(Сотрудники!A1368&lt;&gt;"",Сотрудники!A1368,"")</f>
        <v/>
      </c>
      <c r="B1361" s="1" t="str">
        <f>IF(Сотрудники!B1368 &lt;&gt; "",Сотрудники!B1368,"")</f>
        <v/>
      </c>
    </row>
    <row r="1362" spans="1:2" s="1" customFormat="1" x14ac:dyDescent="0.25">
      <c r="A1362" s="2" t="str">
        <f>IF(Сотрудники!A1369&lt;&gt;"",Сотрудники!A1369,"")</f>
        <v/>
      </c>
      <c r="B1362" s="1" t="str">
        <f>IF(Сотрудники!B1369 &lt;&gt; "",Сотрудники!B1369,"")</f>
        <v/>
      </c>
    </row>
    <row r="1363" spans="1:2" s="1" customFormat="1" x14ac:dyDescent="0.25">
      <c r="A1363" s="2" t="str">
        <f>IF(Сотрудники!A1370&lt;&gt;"",Сотрудники!A1370,"")</f>
        <v/>
      </c>
      <c r="B1363" s="1" t="str">
        <f>IF(Сотрудники!B1370 &lt;&gt; "",Сотрудники!B1370,"")</f>
        <v/>
      </c>
    </row>
    <row r="1364" spans="1:2" s="1" customFormat="1" x14ac:dyDescent="0.25">
      <c r="A1364" s="2" t="str">
        <f>IF(Сотрудники!A1371&lt;&gt;"",Сотрудники!A1371,"")</f>
        <v/>
      </c>
      <c r="B1364" s="1" t="str">
        <f>IF(Сотрудники!B1371 &lt;&gt; "",Сотрудники!B1371,"")</f>
        <v/>
      </c>
    </row>
    <row r="1365" spans="1:2" s="1" customFormat="1" x14ac:dyDescent="0.25">
      <c r="A1365" s="2" t="str">
        <f>IF(Сотрудники!A1372&lt;&gt;"",Сотрудники!A1372,"")</f>
        <v/>
      </c>
      <c r="B1365" s="1" t="str">
        <f>IF(Сотрудники!B1372 &lt;&gt; "",Сотрудники!B1372,"")</f>
        <v/>
      </c>
    </row>
    <row r="1366" spans="1:2" s="1" customFormat="1" x14ac:dyDescent="0.25">
      <c r="A1366" s="2" t="str">
        <f>IF(Сотрудники!A1373&lt;&gt;"",Сотрудники!A1373,"")</f>
        <v/>
      </c>
      <c r="B1366" s="1" t="str">
        <f>IF(Сотрудники!B1373 &lt;&gt; "",Сотрудники!B1373,"")</f>
        <v/>
      </c>
    </row>
    <row r="1367" spans="1:2" s="1" customFormat="1" x14ac:dyDescent="0.25">
      <c r="A1367" s="2" t="str">
        <f>IF(Сотрудники!A1374&lt;&gt;"",Сотрудники!A1374,"")</f>
        <v/>
      </c>
      <c r="B1367" s="1" t="str">
        <f>IF(Сотрудники!B1374 &lt;&gt; "",Сотрудники!B1374,"")</f>
        <v/>
      </c>
    </row>
    <row r="1368" spans="1:2" s="1" customFormat="1" x14ac:dyDescent="0.25">
      <c r="A1368" s="2" t="str">
        <f>IF(Сотрудники!A1375&lt;&gt;"",Сотрудники!A1375,"")</f>
        <v/>
      </c>
      <c r="B1368" s="1" t="str">
        <f>IF(Сотрудники!B1375 &lt;&gt; "",Сотрудники!B1375,"")</f>
        <v/>
      </c>
    </row>
    <row r="1369" spans="1:2" s="1" customFormat="1" x14ac:dyDescent="0.25">
      <c r="A1369" s="2" t="str">
        <f>IF(Сотрудники!A1376&lt;&gt;"",Сотрудники!A1376,"")</f>
        <v/>
      </c>
      <c r="B1369" s="1" t="str">
        <f>IF(Сотрудники!B1376 &lt;&gt; "",Сотрудники!B1376,"")</f>
        <v/>
      </c>
    </row>
    <row r="1370" spans="1:2" s="1" customFormat="1" x14ac:dyDescent="0.25">
      <c r="A1370" s="2" t="str">
        <f>IF(Сотрудники!A1377&lt;&gt;"",Сотрудники!A1377,"")</f>
        <v/>
      </c>
      <c r="B1370" s="1" t="str">
        <f>IF(Сотрудники!B1377 &lt;&gt; "",Сотрудники!B1377,"")</f>
        <v/>
      </c>
    </row>
    <row r="1371" spans="1:2" s="1" customFormat="1" x14ac:dyDescent="0.25">
      <c r="A1371" s="2" t="str">
        <f>IF(Сотрудники!A1378&lt;&gt;"",Сотрудники!A1378,"")</f>
        <v/>
      </c>
      <c r="B1371" s="1" t="str">
        <f>IF(Сотрудники!B1378 &lt;&gt; "",Сотрудники!B1378,"")</f>
        <v/>
      </c>
    </row>
    <row r="1372" spans="1:2" s="1" customFormat="1" x14ac:dyDescent="0.25">
      <c r="A1372" s="2" t="str">
        <f>IF(Сотрудники!A1379&lt;&gt;"",Сотрудники!A1379,"")</f>
        <v/>
      </c>
      <c r="B1372" s="1" t="str">
        <f>IF(Сотрудники!B1379 &lt;&gt; "",Сотрудники!B1379,"")</f>
        <v/>
      </c>
    </row>
    <row r="1373" spans="1:2" s="1" customFormat="1" x14ac:dyDescent="0.25">
      <c r="A1373" s="2" t="str">
        <f>IF(Сотрудники!A1380&lt;&gt;"",Сотрудники!A1380,"")</f>
        <v/>
      </c>
      <c r="B1373" s="1" t="str">
        <f>IF(Сотрудники!B1380 &lt;&gt; "",Сотрудники!B1380,"")</f>
        <v/>
      </c>
    </row>
    <row r="1374" spans="1:2" s="1" customFormat="1" x14ac:dyDescent="0.25">
      <c r="A1374" s="2" t="str">
        <f>IF(Сотрудники!A1381&lt;&gt;"",Сотрудники!A1381,"")</f>
        <v/>
      </c>
      <c r="B1374" s="1" t="str">
        <f>IF(Сотрудники!B1381 &lt;&gt; "",Сотрудники!B1381,"")</f>
        <v/>
      </c>
    </row>
    <row r="1375" spans="1:2" s="1" customFormat="1" x14ac:dyDescent="0.25">
      <c r="A1375" s="2" t="str">
        <f>IF(Сотрудники!A1382&lt;&gt;"",Сотрудники!A1382,"")</f>
        <v/>
      </c>
      <c r="B1375" s="1" t="str">
        <f>IF(Сотрудники!B1382 &lt;&gt; "",Сотрудники!B1382,"")</f>
        <v/>
      </c>
    </row>
    <row r="1376" spans="1:2" s="1" customFormat="1" x14ac:dyDescent="0.25">
      <c r="A1376" s="2" t="str">
        <f>IF(Сотрудники!A1383&lt;&gt;"",Сотрудники!A1383,"")</f>
        <v/>
      </c>
      <c r="B1376" s="1" t="str">
        <f>IF(Сотрудники!B1383 &lt;&gt; "",Сотрудники!B1383,"")</f>
        <v/>
      </c>
    </row>
    <row r="1377" spans="1:2" s="1" customFormat="1" x14ac:dyDescent="0.25">
      <c r="A1377" s="2" t="str">
        <f>IF(Сотрудники!A1384&lt;&gt;"",Сотрудники!A1384,"")</f>
        <v/>
      </c>
      <c r="B1377" s="1" t="str">
        <f>IF(Сотрудники!B1384 &lt;&gt; "",Сотрудники!B1384,"")</f>
        <v/>
      </c>
    </row>
    <row r="1378" spans="1:2" s="1" customFormat="1" x14ac:dyDescent="0.25">
      <c r="A1378" s="2" t="str">
        <f>IF(Сотрудники!A1385&lt;&gt;"",Сотрудники!A1385,"")</f>
        <v/>
      </c>
      <c r="B1378" s="1" t="str">
        <f>IF(Сотрудники!B1385 &lt;&gt; "",Сотрудники!B1385,"")</f>
        <v/>
      </c>
    </row>
    <row r="1379" spans="1:2" s="1" customFormat="1" x14ac:dyDescent="0.25">
      <c r="A1379" s="2" t="str">
        <f>IF(Сотрудники!A1386&lt;&gt;"",Сотрудники!A1386,"")</f>
        <v/>
      </c>
      <c r="B1379" s="1" t="str">
        <f>IF(Сотрудники!B1386 &lt;&gt; "",Сотрудники!B1386,"")</f>
        <v/>
      </c>
    </row>
    <row r="1380" spans="1:2" s="1" customFormat="1" x14ac:dyDescent="0.25">
      <c r="A1380" s="2" t="str">
        <f>IF(Сотрудники!A1387&lt;&gt;"",Сотрудники!A1387,"")</f>
        <v/>
      </c>
      <c r="B1380" s="1" t="str">
        <f>IF(Сотрудники!B1387 &lt;&gt; "",Сотрудники!B1387,"")</f>
        <v/>
      </c>
    </row>
    <row r="1381" spans="1:2" s="1" customFormat="1" x14ac:dyDescent="0.25">
      <c r="A1381" s="2" t="str">
        <f>IF(Сотрудники!A1388&lt;&gt;"",Сотрудники!A1388,"")</f>
        <v/>
      </c>
      <c r="B1381" s="1" t="str">
        <f>IF(Сотрудники!B1388 &lt;&gt; "",Сотрудники!B1388,"")</f>
        <v/>
      </c>
    </row>
    <row r="1382" spans="1:2" s="1" customFormat="1" x14ac:dyDescent="0.25">
      <c r="A1382" s="2" t="str">
        <f>IF(Сотрудники!A1389&lt;&gt;"",Сотрудники!A1389,"")</f>
        <v/>
      </c>
      <c r="B1382" s="1" t="str">
        <f>IF(Сотрудники!B1389 &lt;&gt; "",Сотрудники!B1389,"")</f>
        <v/>
      </c>
    </row>
    <row r="1383" spans="1:2" s="1" customFormat="1" x14ac:dyDescent="0.25">
      <c r="A1383" s="2" t="str">
        <f>IF(Сотрудники!A1390&lt;&gt;"",Сотрудники!A1390,"")</f>
        <v/>
      </c>
      <c r="B1383" s="1" t="str">
        <f>IF(Сотрудники!B1390 &lt;&gt; "",Сотрудники!B1390,"")</f>
        <v/>
      </c>
    </row>
    <row r="1384" spans="1:2" s="1" customFormat="1" x14ac:dyDescent="0.25">
      <c r="A1384" s="2" t="str">
        <f>IF(Сотрудники!A1391&lt;&gt;"",Сотрудники!A1391,"")</f>
        <v/>
      </c>
      <c r="B1384" s="1" t="str">
        <f>IF(Сотрудники!B1391 &lt;&gt; "",Сотрудники!B1391,"")</f>
        <v/>
      </c>
    </row>
    <row r="1385" spans="1:2" s="1" customFormat="1" x14ac:dyDescent="0.25">
      <c r="A1385" s="2" t="str">
        <f>IF(Сотрудники!A1392&lt;&gt;"",Сотрудники!A1392,"")</f>
        <v/>
      </c>
      <c r="B1385" s="1" t="str">
        <f>IF(Сотрудники!B1392 &lt;&gt; "",Сотрудники!B1392,"")</f>
        <v/>
      </c>
    </row>
    <row r="1386" spans="1:2" s="1" customFormat="1" x14ac:dyDescent="0.25">
      <c r="A1386" s="2" t="str">
        <f>IF(Сотрудники!A1393&lt;&gt;"",Сотрудники!A1393,"")</f>
        <v/>
      </c>
      <c r="B1386" s="1" t="str">
        <f>IF(Сотрудники!B1393 &lt;&gt; "",Сотрудники!B1393,"")</f>
        <v/>
      </c>
    </row>
    <row r="1387" spans="1:2" s="1" customFormat="1" x14ac:dyDescent="0.25">
      <c r="A1387" s="2" t="str">
        <f>IF(Сотрудники!A1394&lt;&gt;"",Сотрудники!A1394,"")</f>
        <v/>
      </c>
      <c r="B1387" s="1" t="str">
        <f>IF(Сотрудники!B1394 &lt;&gt; "",Сотрудники!B1394,"")</f>
        <v/>
      </c>
    </row>
    <row r="1388" spans="1:2" s="1" customFormat="1" x14ac:dyDescent="0.25">
      <c r="A1388" s="2" t="str">
        <f>IF(Сотрудники!A1395&lt;&gt;"",Сотрудники!A1395,"")</f>
        <v/>
      </c>
      <c r="B1388" s="1" t="str">
        <f>IF(Сотрудники!B1395 &lt;&gt; "",Сотрудники!B1395,"")</f>
        <v/>
      </c>
    </row>
    <row r="1389" spans="1:2" s="1" customFormat="1" x14ac:dyDescent="0.25">
      <c r="A1389" s="2" t="str">
        <f>IF(Сотрудники!A1396&lt;&gt;"",Сотрудники!A1396,"")</f>
        <v/>
      </c>
      <c r="B1389" s="1" t="str">
        <f>IF(Сотрудники!B1396 &lt;&gt; "",Сотрудники!B1396,"")</f>
        <v/>
      </c>
    </row>
    <row r="1390" spans="1:2" s="1" customFormat="1" x14ac:dyDescent="0.25">
      <c r="A1390" s="2" t="str">
        <f>IF(Сотрудники!A1397&lt;&gt;"",Сотрудники!A1397,"")</f>
        <v/>
      </c>
      <c r="B1390" s="1" t="str">
        <f>IF(Сотрудники!B1397 &lt;&gt; "",Сотрудники!B1397,"")</f>
        <v/>
      </c>
    </row>
    <row r="1391" spans="1:2" s="1" customFormat="1" x14ac:dyDescent="0.25">
      <c r="A1391" s="2" t="str">
        <f>IF(Сотрудники!A1398&lt;&gt;"",Сотрудники!A1398,"")</f>
        <v/>
      </c>
      <c r="B1391" s="1" t="str">
        <f>IF(Сотрудники!B1398 &lt;&gt; "",Сотрудники!B1398,"")</f>
        <v/>
      </c>
    </row>
    <row r="1392" spans="1:2" s="1" customFormat="1" x14ac:dyDescent="0.25">
      <c r="A1392" s="2" t="str">
        <f>IF(Сотрудники!A1399&lt;&gt;"",Сотрудники!A1399,"")</f>
        <v/>
      </c>
      <c r="B1392" s="1" t="str">
        <f>IF(Сотрудники!B1399 &lt;&gt; "",Сотрудники!B1399,"")</f>
        <v/>
      </c>
    </row>
    <row r="1393" spans="1:2" s="1" customFormat="1" x14ac:dyDescent="0.25">
      <c r="A1393" s="2" t="str">
        <f>IF(Сотрудники!A1400&lt;&gt;"",Сотрудники!A1400,"")</f>
        <v/>
      </c>
      <c r="B1393" s="1" t="str">
        <f>IF(Сотрудники!B1400 &lt;&gt; "",Сотрудники!B1400,"")</f>
        <v/>
      </c>
    </row>
    <row r="1394" spans="1:2" s="1" customFormat="1" x14ac:dyDescent="0.25">
      <c r="A1394" s="2" t="str">
        <f>IF(Сотрудники!A1401&lt;&gt;"",Сотрудники!A1401,"")</f>
        <v/>
      </c>
      <c r="B1394" s="1" t="str">
        <f>IF(Сотрудники!B1401 &lt;&gt; "",Сотрудники!B1401,"")</f>
        <v/>
      </c>
    </row>
    <row r="1395" spans="1:2" s="1" customFormat="1" x14ac:dyDescent="0.25">
      <c r="A1395" s="2" t="str">
        <f>IF(Сотрудники!A1402&lt;&gt;"",Сотрудники!A1402,"")</f>
        <v/>
      </c>
      <c r="B1395" s="1" t="str">
        <f>IF(Сотрудники!B1402 &lt;&gt; "",Сотрудники!B1402,"")</f>
        <v/>
      </c>
    </row>
    <row r="1396" spans="1:2" s="1" customFormat="1" x14ac:dyDescent="0.25">
      <c r="A1396" s="2" t="str">
        <f>IF(Сотрудники!A1403&lt;&gt;"",Сотрудники!A1403,"")</f>
        <v/>
      </c>
      <c r="B1396" s="1" t="str">
        <f>IF(Сотрудники!B1403 &lt;&gt; "",Сотрудники!B1403,"")</f>
        <v/>
      </c>
    </row>
    <row r="1397" spans="1:2" s="1" customFormat="1" x14ac:dyDescent="0.25">
      <c r="A1397" s="2" t="str">
        <f>IF(Сотрудники!A1404&lt;&gt;"",Сотрудники!A1404,"")</f>
        <v/>
      </c>
      <c r="B1397" s="1" t="str">
        <f>IF(Сотрудники!B1404 &lt;&gt; "",Сотрудники!B1404,"")</f>
        <v/>
      </c>
    </row>
    <row r="1398" spans="1:2" s="1" customFormat="1" x14ac:dyDescent="0.25">
      <c r="A1398" s="2" t="str">
        <f>IF(Сотрудники!A1405&lt;&gt;"",Сотрудники!A1405,"")</f>
        <v/>
      </c>
      <c r="B1398" s="1" t="str">
        <f>IF(Сотрудники!B1405 &lt;&gt; "",Сотрудники!B1405,"")</f>
        <v/>
      </c>
    </row>
    <row r="1399" spans="1:2" s="1" customFormat="1" x14ac:dyDescent="0.25">
      <c r="A1399" s="2" t="str">
        <f>IF(Сотрудники!A1406&lt;&gt;"",Сотрудники!A1406,"")</f>
        <v/>
      </c>
      <c r="B1399" s="1" t="str">
        <f>IF(Сотрудники!B1406 &lt;&gt; "",Сотрудники!B1406,"")</f>
        <v/>
      </c>
    </row>
    <row r="1400" spans="1:2" s="1" customFormat="1" x14ac:dyDescent="0.25">
      <c r="A1400" s="2" t="str">
        <f>IF(Сотрудники!A1407&lt;&gt;"",Сотрудники!A1407,"")</f>
        <v/>
      </c>
      <c r="B1400" s="1" t="str">
        <f>IF(Сотрудники!B1407 &lt;&gt; "",Сотрудники!B1407,"")</f>
        <v/>
      </c>
    </row>
    <row r="1401" spans="1:2" s="1" customFormat="1" x14ac:dyDescent="0.25">
      <c r="A1401" s="2" t="str">
        <f>IF(Сотрудники!A1408&lt;&gt;"",Сотрудники!A1408,"")</f>
        <v/>
      </c>
      <c r="B1401" s="1" t="str">
        <f>IF(Сотрудники!B1408 &lt;&gt; "",Сотрудники!B1408,"")</f>
        <v/>
      </c>
    </row>
    <row r="1402" spans="1:2" s="1" customFormat="1" x14ac:dyDescent="0.25">
      <c r="A1402" s="2" t="str">
        <f>IF(Сотрудники!A1409&lt;&gt;"",Сотрудники!A1409,"")</f>
        <v/>
      </c>
      <c r="B1402" s="1" t="str">
        <f>IF(Сотрудники!B1409 &lt;&gt; "",Сотрудники!B1409,"")</f>
        <v/>
      </c>
    </row>
    <row r="1403" spans="1:2" s="1" customFormat="1" x14ac:dyDescent="0.25">
      <c r="A1403" s="2" t="str">
        <f>IF(Сотрудники!A1410&lt;&gt;"",Сотрудники!A1410,"")</f>
        <v/>
      </c>
      <c r="B1403" s="1" t="str">
        <f>IF(Сотрудники!B1410 &lt;&gt; "",Сотрудники!B1410,"")</f>
        <v/>
      </c>
    </row>
    <row r="1404" spans="1:2" s="1" customFormat="1" x14ac:dyDescent="0.25">
      <c r="A1404" s="2" t="str">
        <f>IF(Сотрудники!A1411&lt;&gt;"",Сотрудники!A1411,"")</f>
        <v/>
      </c>
      <c r="B1404" s="1" t="str">
        <f>IF(Сотрудники!B1411 &lt;&gt; "",Сотрудники!B1411,"")</f>
        <v/>
      </c>
    </row>
    <row r="1405" spans="1:2" s="1" customFormat="1" x14ac:dyDescent="0.25">
      <c r="A1405" s="2" t="str">
        <f>IF(Сотрудники!A1412&lt;&gt;"",Сотрудники!A1412,"")</f>
        <v/>
      </c>
      <c r="B1405" s="1" t="str">
        <f>IF(Сотрудники!B1412 &lt;&gt; "",Сотрудники!B1412,"")</f>
        <v/>
      </c>
    </row>
    <row r="1406" spans="1:2" s="1" customFormat="1" x14ac:dyDescent="0.25">
      <c r="A1406" s="2" t="str">
        <f>IF(Сотрудники!A1413&lt;&gt;"",Сотрудники!A1413,"")</f>
        <v/>
      </c>
      <c r="B1406" s="1" t="str">
        <f>IF(Сотрудники!B1413 &lt;&gt; "",Сотрудники!B1413,"")</f>
        <v/>
      </c>
    </row>
    <row r="1407" spans="1:2" s="1" customFormat="1" x14ac:dyDescent="0.25">
      <c r="A1407" s="2" t="str">
        <f>IF(Сотрудники!A1414&lt;&gt;"",Сотрудники!A1414,"")</f>
        <v/>
      </c>
      <c r="B1407" s="1" t="str">
        <f>IF(Сотрудники!B1414 &lt;&gt; "",Сотрудники!B1414,"")</f>
        <v/>
      </c>
    </row>
    <row r="1408" spans="1:2" s="1" customFormat="1" x14ac:dyDescent="0.25">
      <c r="A1408" s="2" t="str">
        <f>IF(Сотрудники!A1415&lt;&gt;"",Сотрудники!A1415,"")</f>
        <v/>
      </c>
      <c r="B1408" s="1" t="str">
        <f>IF(Сотрудники!B1415 &lt;&gt; "",Сотрудники!B1415,"")</f>
        <v/>
      </c>
    </row>
    <row r="1409" spans="1:2" s="1" customFormat="1" x14ac:dyDescent="0.25">
      <c r="A1409" s="2" t="str">
        <f>IF(Сотрудники!A1416&lt;&gt;"",Сотрудники!A1416,"")</f>
        <v/>
      </c>
      <c r="B1409" s="1" t="str">
        <f>IF(Сотрудники!B1416 &lt;&gt; "",Сотрудники!B1416,"")</f>
        <v/>
      </c>
    </row>
    <row r="1410" spans="1:2" s="1" customFormat="1" x14ac:dyDescent="0.25">
      <c r="A1410" s="2" t="str">
        <f>IF(Сотрудники!A1417&lt;&gt;"",Сотрудники!A1417,"")</f>
        <v/>
      </c>
      <c r="B1410" s="1" t="str">
        <f>IF(Сотрудники!B1417 &lt;&gt; "",Сотрудники!B1417,"")</f>
        <v/>
      </c>
    </row>
    <row r="1411" spans="1:2" s="1" customFormat="1" x14ac:dyDescent="0.25">
      <c r="A1411" s="2" t="str">
        <f>IF(Сотрудники!A1418&lt;&gt;"",Сотрудники!A1418,"")</f>
        <v/>
      </c>
      <c r="B1411" s="1" t="str">
        <f>IF(Сотрудники!B1418 &lt;&gt; "",Сотрудники!B1418,"")</f>
        <v/>
      </c>
    </row>
    <row r="1412" spans="1:2" s="1" customFormat="1" x14ac:dyDescent="0.25">
      <c r="A1412" s="2" t="str">
        <f>IF(Сотрудники!A1419&lt;&gt;"",Сотрудники!A1419,"")</f>
        <v/>
      </c>
      <c r="B1412" s="1" t="str">
        <f>IF(Сотрудники!B1419 &lt;&gt; "",Сотрудники!B1419,"")</f>
        <v/>
      </c>
    </row>
    <row r="1413" spans="1:2" s="1" customFormat="1" x14ac:dyDescent="0.25">
      <c r="A1413" s="2" t="str">
        <f>IF(Сотрудники!A1420&lt;&gt;"",Сотрудники!A1420,"")</f>
        <v/>
      </c>
      <c r="B1413" s="1" t="str">
        <f>IF(Сотрудники!B1420 &lt;&gt; "",Сотрудники!B1420,"")</f>
        <v/>
      </c>
    </row>
    <row r="1414" spans="1:2" s="1" customFormat="1" x14ac:dyDescent="0.25">
      <c r="A1414" s="2" t="str">
        <f>IF(Сотрудники!A1421&lt;&gt;"",Сотрудники!A1421,"")</f>
        <v/>
      </c>
      <c r="B1414" s="1" t="str">
        <f>IF(Сотрудники!B1421 &lt;&gt; "",Сотрудники!B1421,"")</f>
        <v/>
      </c>
    </row>
    <row r="1415" spans="1:2" s="1" customFormat="1" x14ac:dyDescent="0.25">
      <c r="A1415" s="2" t="str">
        <f>IF(Сотрудники!A1422&lt;&gt;"",Сотрудники!A1422,"")</f>
        <v/>
      </c>
      <c r="B1415" s="1" t="str">
        <f>IF(Сотрудники!B1422 &lt;&gt; "",Сотрудники!B1422,"")</f>
        <v/>
      </c>
    </row>
    <row r="1416" spans="1:2" s="1" customFormat="1" x14ac:dyDescent="0.25">
      <c r="A1416" s="2" t="str">
        <f>IF(Сотрудники!A1423&lt;&gt;"",Сотрудники!A1423,"")</f>
        <v/>
      </c>
      <c r="B1416" s="1" t="str">
        <f>IF(Сотрудники!B1423 &lt;&gt; "",Сотрудники!B1423,"")</f>
        <v/>
      </c>
    </row>
    <row r="1417" spans="1:2" s="1" customFormat="1" x14ac:dyDescent="0.25">
      <c r="A1417" s="2" t="str">
        <f>IF(Сотрудники!A1424&lt;&gt;"",Сотрудники!A1424,"")</f>
        <v/>
      </c>
      <c r="B1417" s="1" t="str">
        <f>IF(Сотрудники!B1424 &lt;&gt; "",Сотрудники!B1424,"")</f>
        <v/>
      </c>
    </row>
    <row r="1418" spans="1:2" s="1" customFormat="1" x14ac:dyDescent="0.25">
      <c r="A1418" s="2" t="str">
        <f>IF(Сотрудники!A1425&lt;&gt;"",Сотрудники!A1425,"")</f>
        <v/>
      </c>
      <c r="B1418" s="1" t="str">
        <f>IF(Сотрудники!B1425 &lt;&gt; "",Сотрудники!B1425,"")</f>
        <v/>
      </c>
    </row>
    <row r="1419" spans="1:2" s="1" customFormat="1" x14ac:dyDescent="0.25">
      <c r="A1419" s="2" t="str">
        <f>IF(Сотрудники!A1426&lt;&gt;"",Сотрудники!A1426,"")</f>
        <v/>
      </c>
      <c r="B1419" s="1" t="str">
        <f>IF(Сотрудники!B1426 &lt;&gt; "",Сотрудники!B1426,"")</f>
        <v/>
      </c>
    </row>
    <row r="1420" spans="1:2" s="1" customFormat="1" x14ac:dyDescent="0.25">
      <c r="A1420" s="2" t="str">
        <f>IF(Сотрудники!A1427&lt;&gt;"",Сотрудники!A1427,"")</f>
        <v/>
      </c>
      <c r="B1420" s="1" t="str">
        <f>IF(Сотрудники!B1427 &lt;&gt; "",Сотрудники!B1427,"")</f>
        <v/>
      </c>
    </row>
    <row r="1421" spans="1:2" s="1" customFormat="1" x14ac:dyDescent="0.25">
      <c r="A1421" s="2" t="str">
        <f>IF(Сотрудники!A1428&lt;&gt;"",Сотрудники!A1428,"")</f>
        <v/>
      </c>
      <c r="B1421" s="1" t="str">
        <f>IF(Сотрудники!B1428 &lt;&gt; "",Сотрудники!B1428,"")</f>
        <v/>
      </c>
    </row>
    <row r="1422" spans="1:2" s="1" customFormat="1" x14ac:dyDescent="0.25">
      <c r="A1422" s="2" t="str">
        <f>IF(Сотрудники!A1429&lt;&gt;"",Сотрудники!A1429,"")</f>
        <v/>
      </c>
      <c r="B1422" s="1" t="str">
        <f>IF(Сотрудники!B1429 &lt;&gt; "",Сотрудники!B1429,"")</f>
        <v/>
      </c>
    </row>
    <row r="1423" spans="1:2" s="1" customFormat="1" x14ac:dyDescent="0.25">
      <c r="A1423" s="2" t="str">
        <f>IF(Сотрудники!A1430&lt;&gt;"",Сотрудники!A1430,"")</f>
        <v/>
      </c>
      <c r="B1423" s="1" t="str">
        <f>IF(Сотрудники!B1430 &lt;&gt; "",Сотрудники!B1430,"")</f>
        <v/>
      </c>
    </row>
    <row r="1424" spans="1:2" s="1" customFormat="1" x14ac:dyDescent="0.25">
      <c r="A1424" s="2" t="str">
        <f>IF(Сотрудники!A1431&lt;&gt;"",Сотрудники!A1431,"")</f>
        <v/>
      </c>
      <c r="B1424" s="1" t="str">
        <f>IF(Сотрудники!B1431 &lt;&gt; "",Сотрудники!B1431,"")</f>
        <v/>
      </c>
    </row>
    <row r="1425" spans="1:2" s="1" customFormat="1" x14ac:dyDescent="0.25">
      <c r="A1425" s="2" t="str">
        <f>IF(Сотрудники!A1432&lt;&gt;"",Сотрудники!A1432,"")</f>
        <v/>
      </c>
      <c r="B1425" s="1" t="str">
        <f>IF(Сотрудники!B1432 &lt;&gt; "",Сотрудники!B1432,"")</f>
        <v/>
      </c>
    </row>
    <row r="1426" spans="1:2" s="1" customFormat="1" x14ac:dyDescent="0.25">
      <c r="A1426" s="2" t="str">
        <f>IF(Сотрудники!A1433&lt;&gt;"",Сотрудники!A1433,"")</f>
        <v/>
      </c>
      <c r="B1426" s="1" t="str">
        <f>IF(Сотрудники!B1433 &lt;&gt; "",Сотрудники!B1433,"")</f>
        <v/>
      </c>
    </row>
    <row r="1427" spans="1:2" s="1" customFormat="1" x14ac:dyDescent="0.25">
      <c r="A1427" s="2" t="str">
        <f>IF(Сотрудники!A1434&lt;&gt;"",Сотрудники!A1434,"")</f>
        <v/>
      </c>
      <c r="B1427" s="1" t="str">
        <f>IF(Сотрудники!B1434 &lt;&gt; "",Сотрудники!B1434,"")</f>
        <v/>
      </c>
    </row>
    <row r="1428" spans="1:2" s="1" customFormat="1" x14ac:dyDescent="0.25">
      <c r="A1428" s="2" t="str">
        <f>IF(Сотрудники!A1435&lt;&gt;"",Сотрудники!A1435,"")</f>
        <v/>
      </c>
      <c r="B1428" s="1" t="str">
        <f>IF(Сотрудники!B1435 &lt;&gt; "",Сотрудники!B1435,"")</f>
        <v/>
      </c>
    </row>
    <row r="1429" spans="1:2" s="1" customFormat="1" x14ac:dyDescent="0.25">
      <c r="A1429" s="2" t="str">
        <f>IF(Сотрудники!A1436&lt;&gt;"",Сотрудники!A1436,"")</f>
        <v/>
      </c>
      <c r="B1429" s="1" t="str">
        <f>IF(Сотрудники!B1436 &lt;&gt; "",Сотрудники!B1436,"")</f>
        <v/>
      </c>
    </row>
    <row r="1430" spans="1:2" s="1" customFormat="1" x14ac:dyDescent="0.25">
      <c r="A1430" s="2" t="str">
        <f>IF(Сотрудники!A1437&lt;&gt;"",Сотрудники!A1437,"")</f>
        <v/>
      </c>
      <c r="B1430" s="1" t="str">
        <f>IF(Сотрудники!B1437 &lt;&gt; "",Сотрудники!B1437,"")</f>
        <v/>
      </c>
    </row>
    <row r="1431" spans="1:2" s="1" customFormat="1" x14ac:dyDescent="0.25">
      <c r="A1431" s="2" t="str">
        <f>IF(Сотрудники!A1438&lt;&gt;"",Сотрудники!A1438,"")</f>
        <v/>
      </c>
      <c r="B1431" s="1" t="str">
        <f>IF(Сотрудники!B1438 &lt;&gt; "",Сотрудники!B1438,"")</f>
        <v/>
      </c>
    </row>
    <row r="1432" spans="1:2" s="1" customFormat="1" x14ac:dyDescent="0.25">
      <c r="A1432" s="2" t="str">
        <f>IF(Сотрудники!A1439&lt;&gt;"",Сотрудники!A1439,"")</f>
        <v/>
      </c>
      <c r="B1432" s="1" t="str">
        <f>IF(Сотрудники!B1439 &lt;&gt; "",Сотрудники!B1439,"")</f>
        <v/>
      </c>
    </row>
    <row r="1433" spans="1:2" s="1" customFormat="1" x14ac:dyDescent="0.25">
      <c r="A1433" s="2" t="str">
        <f>IF(Сотрудники!A1440&lt;&gt;"",Сотрудники!A1440,"")</f>
        <v/>
      </c>
      <c r="B1433" s="1" t="str">
        <f>IF(Сотрудники!B1440 &lt;&gt; "",Сотрудники!B1440,"")</f>
        <v/>
      </c>
    </row>
    <row r="1434" spans="1:2" s="1" customFormat="1" x14ac:dyDescent="0.25">
      <c r="A1434" s="2" t="str">
        <f>IF(Сотрудники!A1441&lt;&gt;"",Сотрудники!A1441,"")</f>
        <v/>
      </c>
      <c r="B1434" s="1" t="str">
        <f>IF(Сотрудники!B1441 &lt;&gt; "",Сотрудники!B1441,"")</f>
        <v/>
      </c>
    </row>
    <row r="1435" spans="1:2" s="1" customFormat="1" x14ac:dyDescent="0.25">
      <c r="A1435" s="2" t="str">
        <f>IF(Сотрудники!A1442&lt;&gt;"",Сотрудники!A1442,"")</f>
        <v/>
      </c>
      <c r="B1435" s="1" t="str">
        <f>IF(Сотрудники!B1442 &lt;&gt; "",Сотрудники!B1442,"")</f>
        <v/>
      </c>
    </row>
    <row r="1436" spans="1:2" s="1" customFormat="1" x14ac:dyDescent="0.25">
      <c r="A1436" s="2" t="str">
        <f>IF(Сотрудники!A1443&lt;&gt;"",Сотрудники!A1443,"")</f>
        <v/>
      </c>
      <c r="B1436" s="1" t="str">
        <f>IF(Сотрудники!B1443 &lt;&gt; "",Сотрудники!B1443,"")</f>
        <v/>
      </c>
    </row>
    <row r="1437" spans="1:2" s="1" customFormat="1" x14ac:dyDescent="0.25">
      <c r="A1437" s="2" t="str">
        <f>IF(Сотрудники!A1444&lt;&gt;"",Сотрудники!A1444,"")</f>
        <v/>
      </c>
      <c r="B1437" s="1" t="str">
        <f>IF(Сотрудники!B1444 &lt;&gt; "",Сотрудники!B1444,"")</f>
        <v/>
      </c>
    </row>
    <row r="1438" spans="1:2" s="1" customFormat="1" x14ac:dyDescent="0.25">
      <c r="A1438" s="2" t="str">
        <f>IF(Сотрудники!A1445&lt;&gt;"",Сотрудники!A1445,"")</f>
        <v/>
      </c>
      <c r="B1438" s="1" t="str">
        <f>IF(Сотрудники!B1445 &lt;&gt; "",Сотрудники!B1445,"")</f>
        <v/>
      </c>
    </row>
    <row r="1439" spans="1:2" s="1" customFormat="1" x14ac:dyDescent="0.25">
      <c r="A1439" s="2" t="str">
        <f>IF(Сотрудники!A1446&lt;&gt;"",Сотрудники!A1446,"")</f>
        <v/>
      </c>
      <c r="B1439" s="1" t="str">
        <f>IF(Сотрудники!B1446 &lt;&gt; "",Сотрудники!B1446,"")</f>
        <v/>
      </c>
    </row>
    <row r="1440" spans="1:2" s="1" customFormat="1" x14ac:dyDescent="0.25">
      <c r="A1440" s="2" t="str">
        <f>IF(Сотрудники!A1447&lt;&gt;"",Сотрудники!A1447,"")</f>
        <v/>
      </c>
      <c r="B1440" s="1" t="str">
        <f>IF(Сотрудники!B1447 &lt;&gt; "",Сотрудники!B1447,"")</f>
        <v/>
      </c>
    </row>
    <row r="1441" spans="1:2" s="1" customFormat="1" x14ac:dyDescent="0.25">
      <c r="A1441" s="2" t="str">
        <f>IF(Сотрудники!A1448&lt;&gt;"",Сотрудники!A1448,"")</f>
        <v/>
      </c>
      <c r="B1441" s="1" t="str">
        <f>IF(Сотрудники!B1448 &lt;&gt; "",Сотрудники!B1448,"")</f>
        <v/>
      </c>
    </row>
    <row r="1442" spans="1:2" s="1" customFormat="1" x14ac:dyDescent="0.25">
      <c r="A1442" s="2" t="str">
        <f>IF(Сотрудники!A1449&lt;&gt;"",Сотрудники!A1449,"")</f>
        <v/>
      </c>
      <c r="B1442" s="1" t="str">
        <f>IF(Сотрудники!B1449 &lt;&gt; "",Сотрудники!B1449,"")</f>
        <v/>
      </c>
    </row>
    <row r="1443" spans="1:2" s="1" customFormat="1" x14ac:dyDescent="0.25">
      <c r="A1443" s="2" t="str">
        <f>IF(Сотрудники!A1450&lt;&gt;"",Сотрудники!A1450,"")</f>
        <v/>
      </c>
      <c r="B1443" s="1" t="str">
        <f>IF(Сотрудники!B1450 &lt;&gt; "",Сотрудники!B1450,"")</f>
        <v/>
      </c>
    </row>
    <row r="1444" spans="1:2" s="1" customFormat="1" x14ac:dyDescent="0.25">
      <c r="A1444" s="2" t="str">
        <f>IF(Сотрудники!A1451&lt;&gt;"",Сотрудники!A1451,"")</f>
        <v/>
      </c>
      <c r="B1444" s="1" t="str">
        <f>IF(Сотрудники!B1451 &lt;&gt; "",Сотрудники!B1451,"")</f>
        <v/>
      </c>
    </row>
    <row r="1445" spans="1:2" s="1" customFormat="1" x14ac:dyDescent="0.25">
      <c r="A1445" s="2" t="str">
        <f>IF(Сотрудники!A1452&lt;&gt;"",Сотрудники!A1452,"")</f>
        <v/>
      </c>
      <c r="B1445" s="1" t="str">
        <f>IF(Сотрудники!B1452 &lt;&gt; "",Сотрудники!B1452,"")</f>
        <v/>
      </c>
    </row>
    <row r="1446" spans="1:2" s="1" customFormat="1" x14ac:dyDescent="0.25">
      <c r="A1446" s="2" t="str">
        <f>IF(Сотрудники!A1453&lt;&gt;"",Сотрудники!A1453,"")</f>
        <v/>
      </c>
      <c r="B1446" s="1" t="str">
        <f>IF(Сотрудники!B1453 &lt;&gt; "",Сотрудники!B1453,"")</f>
        <v/>
      </c>
    </row>
    <row r="1447" spans="1:2" s="1" customFormat="1" x14ac:dyDescent="0.25">
      <c r="A1447" s="2" t="str">
        <f>IF(Сотрудники!A1454&lt;&gt;"",Сотрудники!A1454,"")</f>
        <v/>
      </c>
      <c r="B1447" s="1" t="str">
        <f>IF(Сотрудники!B1454 &lt;&gt; "",Сотрудники!B1454,"")</f>
        <v/>
      </c>
    </row>
    <row r="1448" spans="1:2" s="1" customFormat="1" x14ac:dyDescent="0.25">
      <c r="A1448" s="2" t="str">
        <f>IF(Сотрудники!A1455&lt;&gt;"",Сотрудники!A1455,"")</f>
        <v/>
      </c>
      <c r="B1448" s="1" t="str">
        <f>IF(Сотрудники!B1455 &lt;&gt; "",Сотрудники!B1455,"")</f>
        <v/>
      </c>
    </row>
    <row r="1449" spans="1:2" s="1" customFormat="1" x14ac:dyDescent="0.25">
      <c r="A1449" s="2" t="str">
        <f>IF(Сотрудники!A1456&lt;&gt;"",Сотрудники!A1456,"")</f>
        <v/>
      </c>
      <c r="B1449" s="1" t="str">
        <f>IF(Сотрудники!B1456 &lt;&gt; "",Сотрудники!B1456,"")</f>
        <v/>
      </c>
    </row>
    <row r="1450" spans="1:2" s="1" customFormat="1" x14ac:dyDescent="0.25">
      <c r="A1450" s="2" t="str">
        <f>IF(Сотрудники!A1457&lt;&gt;"",Сотрудники!A1457,"")</f>
        <v/>
      </c>
      <c r="B1450" s="1" t="str">
        <f>IF(Сотрудники!B1457 &lt;&gt; "",Сотрудники!B1457,"")</f>
        <v/>
      </c>
    </row>
    <row r="1451" spans="1:2" s="1" customFormat="1" x14ac:dyDescent="0.25">
      <c r="A1451" s="2" t="str">
        <f>IF(Сотрудники!A1458&lt;&gt;"",Сотрудники!A1458,"")</f>
        <v/>
      </c>
      <c r="B1451" s="1" t="str">
        <f>IF(Сотрудники!B1458 &lt;&gt; "",Сотрудники!B1458,"")</f>
        <v/>
      </c>
    </row>
    <row r="1452" spans="1:2" s="1" customFormat="1" x14ac:dyDescent="0.25">
      <c r="A1452" s="2" t="str">
        <f>IF(Сотрудники!A1459&lt;&gt;"",Сотрудники!A1459,"")</f>
        <v/>
      </c>
      <c r="B1452" s="1" t="str">
        <f>IF(Сотрудники!B1459 &lt;&gt; "",Сотрудники!B1459,"")</f>
        <v/>
      </c>
    </row>
    <row r="1453" spans="1:2" s="1" customFormat="1" x14ac:dyDescent="0.25">
      <c r="A1453" s="2" t="str">
        <f>IF(Сотрудники!A1460&lt;&gt;"",Сотрудники!A1460,"")</f>
        <v/>
      </c>
      <c r="B1453" s="1" t="str">
        <f>IF(Сотрудники!B1460 &lt;&gt; "",Сотрудники!B1460,"")</f>
        <v/>
      </c>
    </row>
    <row r="1454" spans="1:2" s="1" customFormat="1" x14ac:dyDescent="0.25">
      <c r="A1454" s="2" t="str">
        <f>IF(Сотрудники!A1461&lt;&gt;"",Сотрудники!A1461,"")</f>
        <v/>
      </c>
      <c r="B1454" s="1" t="str">
        <f>IF(Сотрудники!B1461 &lt;&gt; "",Сотрудники!B1461,"")</f>
        <v/>
      </c>
    </row>
    <row r="1455" spans="1:2" s="1" customFormat="1" x14ac:dyDescent="0.25">
      <c r="A1455" s="2" t="str">
        <f>IF(Сотрудники!A1462&lt;&gt;"",Сотрудники!A1462,"")</f>
        <v/>
      </c>
      <c r="B1455" s="1" t="str">
        <f>IF(Сотрудники!B1462 &lt;&gt; "",Сотрудники!B1462,"")</f>
        <v/>
      </c>
    </row>
    <row r="1456" spans="1:2" s="1" customFormat="1" x14ac:dyDescent="0.25">
      <c r="A1456" s="2" t="str">
        <f>IF(Сотрудники!A1463&lt;&gt;"",Сотрудники!A1463,"")</f>
        <v/>
      </c>
      <c r="B1456" s="1" t="str">
        <f>IF(Сотрудники!B1463 &lt;&gt; "",Сотрудники!B1463,"")</f>
        <v/>
      </c>
    </row>
    <row r="1457" spans="1:2" s="1" customFormat="1" x14ac:dyDescent="0.25">
      <c r="A1457" s="2" t="str">
        <f>IF(Сотрудники!A1464&lt;&gt;"",Сотрудники!A1464,"")</f>
        <v/>
      </c>
      <c r="B1457" s="1" t="str">
        <f>IF(Сотрудники!B1464 &lt;&gt; "",Сотрудники!B1464,"")</f>
        <v/>
      </c>
    </row>
    <row r="1458" spans="1:2" s="1" customFormat="1" x14ac:dyDescent="0.25">
      <c r="A1458" s="2" t="str">
        <f>IF(Сотрудники!A1465&lt;&gt;"",Сотрудники!A1465,"")</f>
        <v/>
      </c>
      <c r="B1458" s="1" t="str">
        <f>IF(Сотрудники!B1465 &lt;&gt; "",Сотрудники!B1465,"")</f>
        <v/>
      </c>
    </row>
    <row r="1459" spans="1:2" s="1" customFormat="1" x14ac:dyDescent="0.25">
      <c r="A1459" s="2" t="str">
        <f>IF(Сотрудники!A1466&lt;&gt;"",Сотрудники!A1466,"")</f>
        <v/>
      </c>
      <c r="B1459" s="1" t="str">
        <f>IF(Сотрудники!B1466 &lt;&gt; "",Сотрудники!B1466,"")</f>
        <v/>
      </c>
    </row>
    <row r="1460" spans="1:2" s="1" customFormat="1" x14ac:dyDescent="0.25">
      <c r="A1460" s="2" t="str">
        <f>IF(Сотрудники!A1467&lt;&gt;"",Сотрудники!A1467,"")</f>
        <v/>
      </c>
      <c r="B1460" s="1" t="str">
        <f>IF(Сотрудники!B1467 &lt;&gt; "",Сотрудники!B1467,"")</f>
        <v/>
      </c>
    </row>
    <row r="1461" spans="1:2" s="1" customFormat="1" x14ac:dyDescent="0.25">
      <c r="A1461" s="2" t="str">
        <f>IF(Сотрудники!A1468&lt;&gt;"",Сотрудники!A1468,"")</f>
        <v/>
      </c>
      <c r="B1461" s="1" t="str">
        <f>IF(Сотрудники!B1468 &lt;&gt; "",Сотрудники!B1468,"")</f>
        <v/>
      </c>
    </row>
    <row r="1462" spans="1:2" s="1" customFormat="1" x14ac:dyDescent="0.25">
      <c r="A1462" s="2" t="str">
        <f>IF(Сотрудники!A1469&lt;&gt;"",Сотрудники!A1469,"")</f>
        <v/>
      </c>
      <c r="B1462" s="1" t="str">
        <f>IF(Сотрудники!B1469 &lt;&gt; "",Сотрудники!B1469,"")</f>
        <v/>
      </c>
    </row>
    <row r="1463" spans="1:2" s="1" customFormat="1" x14ac:dyDescent="0.25">
      <c r="A1463" s="2" t="str">
        <f>IF(Сотрудники!A1470&lt;&gt;"",Сотрудники!A1470,"")</f>
        <v/>
      </c>
      <c r="B1463" s="1" t="str">
        <f>IF(Сотрудники!B1470 &lt;&gt; "",Сотрудники!B1470,"")</f>
        <v/>
      </c>
    </row>
    <row r="1464" spans="1:2" s="1" customFormat="1" x14ac:dyDescent="0.25">
      <c r="A1464" s="2" t="str">
        <f>IF(Сотрудники!A1471&lt;&gt;"",Сотрудники!A1471,"")</f>
        <v/>
      </c>
      <c r="B1464" s="1" t="str">
        <f>IF(Сотрудники!B1471 &lt;&gt; "",Сотрудники!B1471,"")</f>
        <v/>
      </c>
    </row>
    <row r="1465" spans="1:2" s="1" customFormat="1" x14ac:dyDescent="0.25">
      <c r="A1465" s="2" t="str">
        <f>IF(Сотрудники!A1472&lt;&gt;"",Сотрудники!A1472,"")</f>
        <v/>
      </c>
      <c r="B1465" s="1" t="str">
        <f>IF(Сотрудники!B1472 &lt;&gt; "",Сотрудники!B1472,"")</f>
        <v/>
      </c>
    </row>
    <row r="1466" spans="1:2" s="1" customFormat="1" x14ac:dyDescent="0.25">
      <c r="A1466" s="2" t="str">
        <f>IF(Сотрудники!A1473&lt;&gt;"",Сотрудники!A1473,"")</f>
        <v/>
      </c>
      <c r="B1466" s="1" t="str">
        <f>IF(Сотрудники!B1473 &lt;&gt; "",Сотрудники!B1473,"")</f>
        <v/>
      </c>
    </row>
    <row r="1467" spans="1:2" s="1" customFormat="1" x14ac:dyDescent="0.25">
      <c r="A1467" s="2" t="str">
        <f>IF(Сотрудники!A1474&lt;&gt;"",Сотрудники!A1474,"")</f>
        <v/>
      </c>
      <c r="B1467" s="1" t="str">
        <f>IF(Сотрудники!B1474 &lt;&gt; "",Сотрудники!B1474,"")</f>
        <v/>
      </c>
    </row>
    <row r="1468" spans="1:2" s="1" customFormat="1" x14ac:dyDescent="0.25">
      <c r="A1468" s="2" t="str">
        <f>IF(Сотрудники!A1475&lt;&gt;"",Сотрудники!A1475,"")</f>
        <v/>
      </c>
      <c r="B1468" s="1" t="str">
        <f>IF(Сотрудники!B1475 &lt;&gt; "",Сотрудники!B1475,"")</f>
        <v/>
      </c>
    </row>
    <row r="1469" spans="1:2" s="1" customFormat="1" x14ac:dyDescent="0.25">
      <c r="A1469" s="2" t="str">
        <f>IF(Сотрудники!A1476&lt;&gt;"",Сотрудники!A1476,"")</f>
        <v/>
      </c>
      <c r="B1469" s="1" t="str">
        <f>IF(Сотрудники!B1476 &lt;&gt; "",Сотрудники!B1476,"")</f>
        <v/>
      </c>
    </row>
    <row r="1470" spans="1:2" s="1" customFormat="1" x14ac:dyDescent="0.25">
      <c r="A1470" s="2" t="str">
        <f>IF(Сотрудники!A1477&lt;&gt;"",Сотрудники!A1477,"")</f>
        <v/>
      </c>
      <c r="B1470" s="1" t="str">
        <f>IF(Сотрудники!B1477 &lt;&gt; "",Сотрудники!B1477,"")</f>
        <v/>
      </c>
    </row>
    <row r="1471" spans="1:2" s="1" customFormat="1" x14ac:dyDescent="0.25">
      <c r="A1471" s="2" t="str">
        <f>IF(Сотрудники!A1478&lt;&gt;"",Сотрудники!A1478,"")</f>
        <v/>
      </c>
      <c r="B1471" s="1" t="str">
        <f>IF(Сотрудники!B1478 &lt;&gt; "",Сотрудники!B1478,"")</f>
        <v/>
      </c>
    </row>
    <row r="1472" spans="1:2" s="1" customFormat="1" x14ac:dyDescent="0.25">
      <c r="A1472" s="2" t="str">
        <f>IF(Сотрудники!A1479&lt;&gt;"",Сотрудники!A1479,"")</f>
        <v/>
      </c>
      <c r="B1472" s="1" t="str">
        <f>IF(Сотрудники!B1479 &lt;&gt; "",Сотрудники!B1479,"")</f>
        <v/>
      </c>
    </row>
    <row r="1473" spans="1:2" s="1" customFormat="1" x14ac:dyDescent="0.25">
      <c r="A1473" s="2" t="str">
        <f>IF(Сотрудники!A1480&lt;&gt;"",Сотрудники!A1480,"")</f>
        <v/>
      </c>
      <c r="B1473" s="1" t="str">
        <f>IF(Сотрудники!B1480 &lt;&gt; "",Сотрудники!B1480,"")</f>
        <v/>
      </c>
    </row>
    <row r="1474" spans="1:2" s="1" customFormat="1" x14ac:dyDescent="0.25">
      <c r="A1474" s="2" t="str">
        <f>IF(Сотрудники!A1481&lt;&gt;"",Сотрудники!A1481,"")</f>
        <v/>
      </c>
      <c r="B1474" s="1" t="str">
        <f>IF(Сотрудники!B1481 &lt;&gt; "",Сотрудники!B1481,"")</f>
        <v/>
      </c>
    </row>
    <row r="1475" spans="1:2" s="1" customFormat="1" x14ac:dyDescent="0.25">
      <c r="A1475" s="2" t="str">
        <f>IF(Сотрудники!A1482&lt;&gt;"",Сотрудники!A1482,"")</f>
        <v/>
      </c>
      <c r="B1475" s="1" t="str">
        <f>IF(Сотрудники!B1482 &lt;&gt; "",Сотрудники!B1482,"")</f>
        <v/>
      </c>
    </row>
    <row r="1476" spans="1:2" s="1" customFormat="1" x14ac:dyDescent="0.25">
      <c r="A1476" s="2" t="str">
        <f>IF(Сотрудники!A1483&lt;&gt;"",Сотрудники!A1483,"")</f>
        <v/>
      </c>
      <c r="B1476" s="1" t="str">
        <f>IF(Сотрудники!B1483 &lt;&gt; "",Сотрудники!B1483,"")</f>
        <v/>
      </c>
    </row>
    <row r="1477" spans="1:2" s="1" customFormat="1" x14ac:dyDescent="0.25">
      <c r="A1477" s="2" t="str">
        <f>IF(Сотрудники!A1484&lt;&gt;"",Сотрудники!A1484,"")</f>
        <v/>
      </c>
      <c r="B1477" s="1" t="str">
        <f>IF(Сотрудники!B1484 &lt;&gt; "",Сотрудники!B1484,"")</f>
        <v/>
      </c>
    </row>
    <row r="1478" spans="1:2" s="1" customFormat="1" x14ac:dyDescent="0.25">
      <c r="A1478" s="2" t="str">
        <f>IF(Сотрудники!A1485&lt;&gt;"",Сотрудники!A1485,"")</f>
        <v/>
      </c>
      <c r="B1478" s="1" t="str">
        <f>IF(Сотрудники!B1485 &lt;&gt; "",Сотрудники!B1485,"")</f>
        <v/>
      </c>
    </row>
    <row r="1479" spans="1:2" s="1" customFormat="1" x14ac:dyDescent="0.25">
      <c r="A1479" s="2" t="str">
        <f>IF(Сотрудники!A1486&lt;&gt;"",Сотрудники!A1486,"")</f>
        <v/>
      </c>
      <c r="B1479" s="1" t="str">
        <f>IF(Сотрудники!B1486 &lt;&gt; "",Сотрудники!B1486,"")</f>
        <v/>
      </c>
    </row>
    <row r="1480" spans="1:2" s="1" customFormat="1" x14ac:dyDescent="0.25">
      <c r="A1480" s="2" t="str">
        <f>IF(Сотрудники!A1487&lt;&gt;"",Сотрудники!A1487,"")</f>
        <v/>
      </c>
      <c r="B1480" s="1" t="str">
        <f>IF(Сотрудники!B1487 &lt;&gt; "",Сотрудники!B1487,"")</f>
        <v/>
      </c>
    </row>
    <row r="1481" spans="1:2" s="1" customFormat="1" x14ac:dyDescent="0.25">
      <c r="A1481" s="2" t="str">
        <f>IF(Сотрудники!A1488&lt;&gt;"",Сотрудники!A1488,"")</f>
        <v/>
      </c>
      <c r="B1481" s="1" t="str">
        <f>IF(Сотрудники!B1488 &lt;&gt; "",Сотрудники!B1488,"")</f>
        <v/>
      </c>
    </row>
    <row r="1482" spans="1:2" s="1" customFormat="1" x14ac:dyDescent="0.25">
      <c r="A1482" s="2" t="str">
        <f>IF(Сотрудники!A1489&lt;&gt;"",Сотрудники!A1489,"")</f>
        <v/>
      </c>
      <c r="B1482" s="1" t="str">
        <f>IF(Сотрудники!B1489 &lt;&gt; "",Сотрудники!B1489,"")</f>
        <v/>
      </c>
    </row>
    <row r="1483" spans="1:2" s="1" customFormat="1" x14ac:dyDescent="0.25">
      <c r="A1483" s="2" t="str">
        <f>IF(Сотрудники!A1490&lt;&gt;"",Сотрудники!A1490,"")</f>
        <v/>
      </c>
      <c r="B1483" s="1" t="str">
        <f>IF(Сотрудники!B1490 &lt;&gt; "",Сотрудники!B1490,"")</f>
        <v/>
      </c>
    </row>
    <row r="1484" spans="1:2" s="1" customFormat="1" x14ac:dyDescent="0.25">
      <c r="A1484" s="2" t="str">
        <f>IF(Сотрудники!A1491&lt;&gt;"",Сотрудники!A1491,"")</f>
        <v/>
      </c>
      <c r="B1484" s="1" t="str">
        <f>IF(Сотрудники!B1491 &lt;&gt; "",Сотрудники!B1491,"")</f>
        <v/>
      </c>
    </row>
    <row r="1485" spans="1:2" s="1" customFormat="1" x14ac:dyDescent="0.25">
      <c r="A1485" s="2" t="str">
        <f>IF(Сотрудники!A1492&lt;&gt;"",Сотрудники!A1492,"")</f>
        <v/>
      </c>
      <c r="B1485" s="1" t="str">
        <f>IF(Сотрудники!B1492 &lt;&gt; "",Сотрудники!B1492,"")</f>
        <v/>
      </c>
    </row>
    <row r="1486" spans="1:2" s="1" customFormat="1" x14ac:dyDescent="0.25">
      <c r="A1486" s="2" t="str">
        <f>IF(Сотрудники!A1493&lt;&gt;"",Сотрудники!A1493,"")</f>
        <v/>
      </c>
      <c r="B1486" s="1" t="str">
        <f>IF(Сотрудники!B1493 &lt;&gt; "",Сотрудники!B1493,"")</f>
        <v/>
      </c>
    </row>
    <row r="1487" spans="1:2" s="1" customFormat="1" x14ac:dyDescent="0.25">
      <c r="A1487" s="2" t="str">
        <f>IF(Сотрудники!A1494&lt;&gt;"",Сотрудники!A1494,"")</f>
        <v/>
      </c>
      <c r="B1487" s="1" t="str">
        <f>IF(Сотрудники!B1494 &lt;&gt; "",Сотрудники!B1494,"")</f>
        <v/>
      </c>
    </row>
    <row r="1488" spans="1:2" s="1" customFormat="1" x14ac:dyDescent="0.25">
      <c r="A1488" s="2" t="str">
        <f>IF(Сотрудники!A1495&lt;&gt;"",Сотрудники!A1495,"")</f>
        <v/>
      </c>
      <c r="B1488" s="1" t="str">
        <f>IF(Сотрудники!B1495 &lt;&gt; "",Сотрудники!B1495,"")</f>
        <v/>
      </c>
    </row>
    <row r="1489" spans="1:2" s="1" customFormat="1" x14ac:dyDescent="0.25">
      <c r="A1489" s="2" t="str">
        <f>IF(Сотрудники!A1496&lt;&gt;"",Сотрудники!A1496,"")</f>
        <v/>
      </c>
      <c r="B1489" s="1" t="str">
        <f>IF(Сотрудники!B1496 &lt;&gt; "",Сотрудники!B1496,"")</f>
        <v/>
      </c>
    </row>
    <row r="1490" spans="1:2" s="1" customFormat="1" x14ac:dyDescent="0.25">
      <c r="A1490" s="2" t="str">
        <f>IF(Сотрудники!A1497&lt;&gt;"",Сотрудники!A1497,"")</f>
        <v/>
      </c>
      <c r="B1490" s="1" t="str">
        <f>IF(Сотрудники!B1497 &lt;&gt; "",Сотрудники!B1497,"")</f>
        <v/>
      </c>
    </row>
    <row r="1491" spans="1:2" s="1" customFormat="1" x14ac:dyDescent="0.25">
      <c r="A1491" s="2" t="str">
        <f>IF(Сотрудники!A1498&lt;&gt;"",Сотрудники!A1498,"")</f>
        <v/>
      </c>
      <c r="B1491" s="1" t="str">
        <f>IF(Сотрудники!B1498 &lt;&gt; "",Сотрудники!B1498,"")</f>
        <v/>
      </c>
    </row>
    <row r="1492" spans="1:2" s="1" customFormat="1" x14ac:dyDescent="0.25">
      <c r="A1492" s="2" t="str">
        <f>IF(Сотрудники!A1499&lt;&gt;"",Сотрудники!A1499,"")</f>
        <v/>
      </c>
      <c r="B1492" s="1" t="str">
        <f>IF(Сотрудники!B1499 &lt;&gt; "",Сотрудники!B1499,"")</f>
        <v/>
      </c>
    </row>
    <row r="1493" spans="1:2" s="1" customFormat="1" x14ac:dyDescent="0.25">
      <c r="A1493" s="2" t="str">
        <f>IF(Сотрудники!A1500&lt;&gt;"",Сотрудники!A1500,"")</f>
        <v/>
      </c>
      <c r="B1493" s="1" t="str">
        <f>IF(Сотрудники!B1500 &lt;&gt; "",Сотрудники!B1500,"")</f>
        <v/>
      </c>
    </row>
    <row r="1494" spans="1:2" s="1" customFormat="1" x14ac:dyDescent="0.25">
      <c r="A1494" s="2" t="str">
        <f>IF(Сотрудники!A1501&lt;&gt;"",Сотрудники!A1501,"")</f>
        <v/>
      </c>
      <c r="B1494" s="1" t="str">
        <f>IF(Сотрудники!B1501 &lt;&gt; "",Сотрудники!B1501,"")</f>
        <v/>
      </c>
    </row>
    <row r="1495" spans="1:2" s="1" customFormat="1" x14ac:dyDescent="0.25">
      <c r="A1495" s="2" t="str">
        <f>IF(Сотрудники!A1502&lt;&gt;"",Сотрудники!A1502,"")</f>
        <v/>
      </c>
      <c r="B1495" s="1" t="str">
        <f>IF(Сотрудники!B1502 &lt;&gt; "",Сотрудники!B1502,"")</f>
        <v/>
      </c>
    </row>
    <row r="1496" spans="1:2" s="1" customFormat="1" x14ac:dyDescent="0.25">
      <c r="A1496" s="2" t="str">
        <f>IF(Сотрудники!A1503&lt;&gt;"",Сотрудники!A1503,"")</f>
        <v/>
      </c>
      <c r="B1496" s="1" t="str">
        <f>IF(Сотрудники!B1503 &lt;&gt; "",Сотрудники!B1503,"")</f>
        <v/>
      </c>
    </row>
    <row r="1497" spans="1:2" s="1" customFormat="1" x14ac:dyDescent="0.25">
      <c r="A1497" s="2" t="str">
        <f>IF(Сотрудники!A1504&lt;&gt;"",Сотрудники!A1504,"")</f>
        <v/>
      </c>
      <c r="B1497" s="1" t="str">
        <f>IF(Сотрудники!B1504 &lt;&gt; "",Сотрудники!B1504,"")</f>
        <v/>
      </c>
    </row>
    <row r="1498" spans="1:2" s="1" customFormat="1" x14ac:dyDescent="0.25">
      <c r="A1498" s="2" t="str">
        <f>IF(Сотрудники!A1505&lt;&gt;"",Сотрудники!A1505,"")</f>
        <v/>
      </c>
      <c r="B1498" s="1" t="str">
        <f>IF(Сотрудники!B1505 &lt;&gt; "",Сотрудники!B1505,"")</f>
        <v/>
      </c>
    </row>
    <row r="1499" spans="1:2" s="1" customFormat="1" x14ac:dyDescent="0.25">
      <c r="A1499" s="2" t="str">
        <f>IF(Сотрудники!A1506&lt;&gt;"",Сотрудники!A1506,"")</f>
        <v/>
      </c>
      <c r="B1499" s="1" t="str">
        <f>IF(Сотрудники!B1506 &lt;&gt; "",Сотрудники!B1506,"")</f>
        <v/>
      </c>
    </row>
    <row r="1500" spans="1:2" s="1" customFormat="1" x14ac:dyDescent="0.25">
      <c r="A1500" s="2" t="str">
        <f>IF(Сотрудники!A1507&lt;&gt;"",Сотрудники!A1507,"")</f>
        <v/>
      </c>
      <c r="B1500" s="1" t="str">
        <f>IF(Сотрудники!B1507 &lt;&gt; "",Сотрудники!B1507,"")</f>
        <v/>
      </c>
    </row>
    <row r="1501" spans="1:2" s="1" customFormat="1" x14ac:dyDescent="0.25">
      <c r="A1501" s="2" t="str">
        <f>IF(Сотрудники!A1508&lt;&gt;"",Сотрудники!A1508,"")</f>
        <v/>
      </c>
      <c r="B1501" s="1" t="str">
        <f>IF(Сотрудники!B1508 &lt;&gt; "",Сотрудники!B1508,"")</f>
        <v/>
      </c>
    </row>
    <row r="1502" spans="1:2" s="1" customFormat="1" x14ac:dyDescent="0.25">
      <c r="A1502" s="2" t="str">
        <f>IF(Сотрудники!A1509&lt;&gt;"",Сотрудники!A1509,"")</f>
        <v/>
      </c>
      <c r="B1502" s="1" t="str">
        <f>IF(Сотрудники!B1509 &lt;&gt; "",Сотрудники!B1509,"")</f>
        <v/>
      </c>
    </row>
    <row r="1503" spans="1:2" s="1" customFormat="1" x14ac:dyDescent="0.25">
      <c r="A1503" s="2" t="str">
        <f>IF(Сотрудники!A1510&lt;&gt;"",Сотрудники!A1510,"")</f>
        <v/>
      </c>
      <c r="B1503" s="1" t="str">
        <f>IF(Сотрудники!B1510 &lt;&gt; "",Сотрудники!B1510,"")</f>
        <v/>
      </c>
    </row>
    <row r="1504" spans="1:2" s="1" customFormat="1" x14ac:dyDescent="0.25">
      <c r="A1504" s="2" t="str">
        <f>IF(Сотрудники!A1511&lt;&gt;"",Сотрудники!A1511,"")</f>
        <v/>
      </c>
      <c r="B1504" s="1" t="str">
        <f>IF(Сотрудники!B1511 &lt;&gt; "",Сотрудники!B1511,"")</f>
        <v/>
      </c>
    </row>
    <row r="1505" spans="1:2" s="1" customFormat="1" x14ac:dyDescent="0.25">
      <c r="A1505" s="2" t="str">
        <f>IF(Сотрудники!A1512&lt;&gt;"",Сотрудники!A1512,"")</f>
        <v/>
      </c>
      <c r="B1505" s="1" t="str">
        <f>IF(Сотрудники!B1512 &lt;&gt; "",Сотрудники!B1512,"")</f>
        <v/>
      </c>
    </row>
    <row r="1506" spans="1:2" s="1" customFormat="1" x14ac:dyDescent="0.25">
      <c r="A1506" s="2" t="str">
        <f>IF(Сотрудники!A1513&lt;&gt;"",Сотрудники!A1513,"")</f>
        <v/>
      </c>
      <c r="B1506" s="1" t="str">
        <f>IF(Сотрудники!B1513 &lt;&gt; "",Сотрудники!B1513,"")</f>
        <v/>
      </c>
    </row>
    <row r="1507" spans="1:2" s="1" customFormat="1" x14ac:dyDescent="0.25">
      <c r="A1507" s="2" t="str">
        <f>IF(Сотрудники!A1514&lt;&gt;"",Сотрудники!A1514,"")</f>
        <v/>
      </c>
      <c r="B1507" s="1" t="str">
        <f>IF(Сотрудники!B1514 &lt;&gt; "",Сотрудники!B1514,"")</f>
        <v/>
      </c>
    </row>
    <row r="1508" spans="1:2" s="1" customFormat="1" x14ac:dyDescent="0.25">
      <c r="A1508" s="2" t="str">
        <f>IF(Сотрудники!A1515&lt;&gt;"",Сотрудники!A1515,"")</f>
        <v/>
      </c>
      <c r="B1508" s="1" t="str">
        <f>IF(Сотрудники!B1515 &lt;&gt; "",Сотрудники!B1515,"")</f>
        <v/>
      </c>
    </row>
    <row r="1509" spans="1:2" s="1" customFormat="1" x14ac:dyDescent="0.25">
      <c r="A1509" s="2" t="str">
        <f>IF(Сотрудники!A1516&lt;&gt;"",Сотрудники!A1516,"")</f>
        <v/>
      </c>
      <c r="B1509" s="1" t="str">
        <f>IF(Сотрудники!B1516 &lt;&gt; "",Сотрудники!B1516,"")</f>
        <v/>
      </c>
    </row>
    <row r="1510" spans="1:2" s="1" customFormat="1" x14ac:dyDescent="0.25">
      <c r="A1510" s="2" t="str">
        <f>IF(Сотрудники!A1517&lt;&gt;"",Сотрудники!A1517,"")</f>
        <v/>
      </c>
      <c r="B1510" s="1" t="str">
        <f>IF(Сотрудники!B1517 &lt;&gt; "",Сотрудники!B1517,"")</f>
        <v/>
      </c>
    </row>
    <row r="1511" spans="1:2" s="1" customFormat="1" x14ac:dyDescent="0.25">
      <c r="A1511" s="2" t="str">
        <f>IF(Сотрудники!A1518&lt;&gt;"",Сотрудники!A1518,"")</f>
        <v/>
      </c>
      <c r="B1511" s="1" t="str">
        <f>IF(Сотрудники!B1518 &lt;&gt; "",Сотрудники!B1518,"")</f>
        <v/>
      </c>
    </row>
    <row r="1512" spans="1:2" s="1" customFormat="1" x14ac:dyDescent="0.25">
      <c r="A1512" s="2" t="str">
        <f>IF(Сотрудники!A1519&lt;&gt;"",Сотрудники!A1519,"")</f>
        <v/>
      </c>
      <c r="B1512" s="1" t="str">
        <f>IF(Сотрудники!B1519 &lt;&gt; "",Сотрудники!B1519,"")</f>
        <v/>
      </c>
    </row>
    <row r="1513" spans="1:2" s="1" customFormat="1" x14ac:dyDescent="0.25">
      <c r="A1513" s="2" t="str">
        <f>IF(Сотрудники!A1520&lt;&gt;"",Сотрудники!A1520,"")</f>
        <v/>
      </c>
      <c r="B1513" s="1" t="str">
        <f>IF(Сотрудники!B1520 &lt;&gt; "",Сотрудники!B1520,"")</f>
        <v/>
      </c>
    </row>
    <row r="1514" spans="1:2" s="1" customFormat="1" x14ac:dyDescent="0.25">
      <c r="A1514" s="2" t="str">
        <f>IF(Сотрудники!A1521&lt;&gt;"",Сотрудники!A1521,"")</f>
        <v/>
      </c>
      <c r="B1514" s="1" t="str">
        <f>IF(Сотрудники!B1521 &lt;&gt; "",Сотрудники!B1521,"")</f>
        <v/>
      </c>
    </row>
    <row r="1515" spans="1:2" s="1" customFormat="1" x14ac:dyDescent="0.25">
      <c r="A1515" s="2" t="str">
        <f>IF(Сотрудники!A1522&lt;&gt;"",Сотрудники!A1522,"")</f>
        <v/>
      </c>
      <c r="B1515" s="1" t="str">
        <f>IF(Сотрудники!B1522 &lt;&gt; "",Сотрудники!B1522,"")</f>
        <v/>
      </c>
    </row>
    <row r="1516" spans="1:2" s="1" customFormat="1" x14ac:dyDescent="0.25">
      <c r="A1516" s="2" t="str">
        <f>IF(Сотрудники!A1523&lt;&gt;"",Сотрудники!A1523,"")</f>
        <v/>
      </c>
      <c r="B1516" s="1" t="str">
        <f>IF(Сотрудники!B1523 &lt;&gt; "",Сотрудники!B1523,"")</f>
        <v/>
      </c>
    </row>
    <row r="1517" spans="1:2" s="1" customFormat="1" x14ac:dyDescent="0.25">
      <c r="A1517" s="2" t="str">
        <f>IF(Сотрудники!A1524&lt;&gt;"",Сотрудники!A1524,"")</f>
        <v/>
      </c>
      <c r="B1517" s="1" t="str">
        <f>IF(Сотрудники!B1524 &lt;&gt; "",Сотрудники!B1524,"")</f>
        <v/>
      </c>
    </row>
    <row r="1518" spans="1:2" s="1" customFormat="1" x14ac:dyDescent="0.25">
      <c r="A1518" s="2" t="str">
        <f>IF(Сотрудники!A1525&lt;&gt;"",Сотрудники!A1525,"")</f>
        <v/>
      </c>
      <c r="B1518" s="1" t="str">
        <f>IF(Сотрудники!B1525 &lt;&gt; "",Сотрудники!B1525,"")</f>
        <v/>
      </c>
    </row>
    <row r="1519" spans="1:2" s="1" customFormat="1" x14ac:dyDescent="0.25">
      <c r="A1519" s="2" t="str">
        <f>IF(Сотрудники!A1526&lt;&gt;"",Сотрудники!A1526,"")</f>
        <v/>
      </c>
      <c r="B1519" s="1" t="str">
        <f>IF(Сотрудники!B1526 &lt;&gt; "",Сотрудники!B1526,"")</f>
        <v/>
      </c>
    </row>
    <row r="1520" spans="1:2" s="1" customFormat="1" x14ac:dyDescent="0.25">
      <c r="A1520" s="2" t="str">
        <f>IF(Сотрудники!A1527&lt;&gt;"",Сотрудники!A1527,"")</f>
        <v/>
      </c>
      <c r="B1520" s="1" t="str">
        <f>IF(Сотрудники!B1527 &lt;&gt; "",Сотрудники!B1527,"")</f>
        <v/>
      </c>
    </row>
    <row r="1521" spans="1:2" s="1" customFormat="1" x14ac:dyDescent="0.25">
      <c r="A1521" s="2" t="str">
        <f>IF(Сотрудники!A1528&lt;&gt;"",Сотрудники!A1528,"")</f>
        <v/>
      </c>
      <c r="B1521" s="1" t="str">
        <f>IF(Сотрудники!B1528 &lt;&gt; "",Сотрудники!B1528,"")</f>
        <v/>
      </c>
    </row>
    <row r="1522" spans="1:2" s="1" customFormat="1" x14ac:dyDescent="0.25">
      <c r="A1522" s="2" t="str">
        <f>IF(Сотрудники!A1529&lt;&gt;"",Сотрудники!A1529,"")</f>
        <v/>
      </c>
      <c r="B1522" s="1" t="str">
        <f>IF(Сотрудники!B1529 &lt;&gt; "",Сотрудники!B1529,"")</f>
        <v/>
      </c>
    </row>
    <row r="1523" spans="1:2" s="1" customFormat="1" x14ac:dyDescent="0.25">
      <c r="A1523" s="2" t="str">
        <f>IF(Сотрудники!A1530&lt;&gt;"",Сотрудники!A1530,"")</f>
        <v/>
      </c>
      <c r="B1523" s="1" t="str">
        <f>IF(Сотрудники!B1530 &lt;&gt; "",Сотрудники!B1530,"")</f>
        <v/>
      </c>
    </row>
    <row r="1524" spans="1:2" s="1" customFormat="1" x14ac:dyDescent="0.25">
      <c r="A1524" s="2" t="str">
        <f>IF(Сотрудники!A1531&lt;&gt;"",Сотрудники!A1531,"")</f>
        <v/>
      </c>
      <c r="B1524" s="1" t="str">
        <f>IF(Сотрудники!B1531 &lt;&gt; "",Сотрудники!B1531,"")</f>
        <v/>
      </c>
    </row>
    <row r="1525" spans="1:2" s="1" customFormat="1" x14ac:dyDescent="0.25">
      <c r="A1525" s="2" t="str">
        <f>IF(Сотрудники!A1532&lt;&gt;"",Сотрудники!A1532,"")</f>
        <v/>
      </c>
      <c r="B1525" s="1" t="str">
        <f>IF(Сотрудники!B1532 &lt;&gt; "",Сотрудники!B1532,"")</f>
        <v/>
      </c>
    </row>
    <row r="1526" spans="1:2" s="1" customFormat="1" x14ac:dyDescent="0.25">
      <c r="A1526" s="2" t="str">
        <f>IF(Сотрудники!A1533&lt;&gt;"",Сотрудники!A1533,"")</f>
        <v/>
      </c>
      <c r="B1526" s="1" t="str">
        <f>IF(Сотрудники!B1533 &lt;&gt; "",Сотрудники!B1533,"")</f>
        <v/>
      </c>
    </row>
    <row r="1527" spans="1:2" s="1" customFormat="1" x14ac:dyDescent="0.25">
      <c r="A1527" s="2" t="str">
        <f>IF(Сотрудники!A1534&lt;&gt;"",Сотрудники!A1534,"")</f>
        <v/>
      </c>
      <c r="B1527" s="1" t="str">
        <f>IF(Сотрудники!B1534 &lt;&gt; "",Сотрудники!B1534,"")</f>
        <v/>
      </c>
    </row>
    <row r="1528" spans="1:2" s="1" customFormat="1" x14ac:dyDescent="0.25">
      <c r="A1528" s="2" t="str">
        <f>IF(Сотрудники!A1535&lt;&gt;"",Сотрудники!A1535,"")</f>
        <v/>
      </c>
      <c r="B1528" s="1" t="str">
        <f>IF(Сотрудники!B1535 &lt;&gt; "",Сотрудники!B1535,"")</f>
        <v/>
      </c>
    </row>
    <row r="1529" spans="1:2" s="1" customFormat="1" x14ac:dyDescent="0.25">
      <c r="A1529" s="2" t="str">
        <f>IF(Сотрудники!A1536&lt;&gt;"",Сотрудники!A1536,"")</f>
        <v/>
      </c>
      <c r="B1529" s="1" t="str">
        <f>IF(Сотрудники!B1536 &lt;&gt; "",Сотрудники!B1536,"")</f>
        <v/>
      </c>
    </row>
    <row r="1530" spans="1:2" s="1" customFormat="1" x14ac:dyDescent="0.25">
      <c r="A1530" s="2" t="str">
        <f>IF(Сотрудники!A1537&lt;&gt;"",Сотрудники!A1537,"")</f>
        <v/>
      </c>
      <c r="B1530" s="1" t="str">
        <f>IF(Сотрудники!B1537 &lt;&gt; "",Сотрудники!B1537,"")</f>
        <v/>
      </c>
    </row>
    <row r="1531" spans="1:2" s="1" customFormat="1" x14ac:dyDescent="0.25">
      <c r="A1531" s="2" t="str">
        <f>IF(Сотрудники!A1538&lt;&gt;"",Сотрудники!A1538,"")</f>
        <v/>
      </c>
      <c r="B1531" s="1" t="str">
        <f>IF(Сотрудники!B1538 &lt;&gt; "",Сотрудники!B1538,"")</f>
        <v/>
      </c>
    </row>
    <row r="1532" spans="1:2" s="1" customFormat="1" x14ac:dyDescent="0.25">
      <c r="A1532" s="2" t="str">
        <f>IF(Сотрудники!A1539&lt;&gt;"",Сотрудники!A1539,"")</f>
        <v/>
      </c>
      <c r="B1532" s="1" t="str">
        <f>IF(Сотрудники!B1539 &lt;&gt; "",Сотрудники!B1539,"")</f>
        <v/>
      </c>
    </row>
    <row r="1533" spans="1:2" s="1" customFormat="1" x14ac:dyDescent="0.25">
      <c r="A1533" s="2" t="str">
        <f>IF(Сотрудники!A1540&lt;&gt;"",Сотрудники!A1540,"")</f>
        <v/>
      </c>
      <c r="B1533" s="1" t="str">
        <f>IF(Сотрудники!B1540 &lt;&gt; "",Сотрудники!B1540,"")</f>
        <v/>
      </c>
    </row>
    <row r="1534" spans="1:2" s="1" customFormat="1" x14ac:dyDescent="0.25">
      <c r="A1534" s="2" t="str">
        <f>IF(Сотрудники!A1541&lt;&gt;"",Сотрудники!A1541,"")</f>
        <v/>
      </c>
      <c r="B1534" s="1" t="str">
        <f>IF(Сотрудники!B1541 &lt;&gt; "",Сотрудники!B1541,"")</f>
        <v/>
      </c>
    </row>
    <row r="1535" spans="1:2" s="1" customFormat="1" x14ac:dyDescent="0.25">
      <c r="A1535" s="2" t="str">
        <f>IF(Сотрудники!A1542&lt;&gt;"",Сотрудники!A1542,"")</f>
        <v/>
      </c>
      <c r="B1535" s="1" t="str">
        <f>IF(Сотрудники!B1542 &lt;&gt; "",Сотрудники!B1542,"")</f>
        <v/>
      </c>
    </row>
    <row r="1536" spans="1:2" s="1" customFormat="1" x14ac:dyDescent="0.25">
      <c r="A1536" s="2" t="str">
        <f>IF(Сотрудники!A1543&lt;&gt;"",Сотрудники!A1543,"")</f>
        <v/>
      </c>
      <c r="B1536" s="1" t="str">
        <f>IF(Сотрудники!B1543 &lt;&gt; "",Сотрудники!B1543,"")</f>
        <v/>
      </c>
    </row>
    <row r="1537" spans="1:2" s="1" customFormat="1" x14ac:dyDescent="0.25">
      <c r="A1537" s="2" t="str">
        <f>IF(Сотрудники!A1544&lt;&gt;"",Сотрудники!A1544,"")</f>
        <v/>
      </c>
      <c r="B1537" s="1" t="str">
        <f>IF(Сотрудники!B1544 &lt;&gt; "",Сотрудники!B1544,"")</f>
        <v/>
      </c>
    </row>
    <row r="1538" spans="1:2" s="1" customFormat="1" x14ac:dyDescent="0.25">
      <c r="A1538" s="2" t="str">
        <f>IF(Сотрудники!A1545&lt;&gt;"",Сотрудники!A1545,"")</f>
        <v/>
      </c>
      <c r="B1538" s="1" t="str">
        <f>IF(Сотрудники!B1545 &lt;&gt; "",Сотрудники!B1545,"")</f>
        <v/>
      </c>
    </row>
    <row r="1539" spans="1:2" s="1" customFormat="1" x14ac:dyDescent="0.25">
      <c r="A1539" s="2" t="str">
        <f>IF(Сотрудники!A1546&lt;&gt;"",Сотрудники!A1546,"")</f>
        <v/>
      </c>
      <c r="B1539" s="1" t="str">
        <f>IF(Сотрудники!B1546 &lt;&gt; "",Сотрудники!B1546,"")</f>
        <v/>
      </c>
    </row>
    <row r="1540" spans="1:2" s="1" customFormat="1" x14ac:dyDescent="0.25">
      <c r="A1540" s="2" t="str">
        <f>IF(Сотрудники!A1547&lt;&gt;"",Сотрудники!A1547,"")</f>
        <v/>
      </c>
      <c r="B1540" s="1" t="str">
        <f>IF(Сотрудники!B1547 &lt;&gt; "",Сотрудники!B1547,"")</f>
        <v/>
      </c>
    </row>
    <row r="1541" spans="1:2" s="1" customFormat="1" x14ac:dyDescent="0.25">
      <c r="A1541" s="2" t="str">
        <f>IF(Сотрудники!A1548&lt;&gt;"",Сотрудники!A1548,"")</f>
        <v/>
      </c>
      <c r="B1541" s="1" t="str">
        <f>IF(Сотрудники!B1548 &lt;&gt; "",Сотрудники!B1548,"")</f>
        <v/>
      </c>
    </row>
    <row r="1542" spans="1:2" s="1" customFormat="1" x14ac:dyDescent="0.25">
      <c r="A1542" s="2" t="str">
        <f>IF(Сотрудники!A1549&lt;&gt;"",Сотрудники!A1549,"")</f>
        <v/>
      </c>
      <c r="B1542" s="1" t="str">
        <f>IF(Сотрудники!B1549 &lt;&gt; "",Сотрудники!B1549,"")</f>
        <v/>
      </c>
    </row>
    <row r="1543" spans="1:2" s="1" customFormat="1" x14ac:dyDescent="0.25">
      <c r="A1543" s="2" t="str">
        <f>IF(Сотрудники!A1550&lt;&gt;"",Сотрудники!A1550,"")</f>
        <v/>
      </c>
      <c r="B1543" s="1" t="str">
        <f>IF(Сотрудники!B1550 &lt;&gt; "",Сотрудники!B1550,"")</f>
        <v/>
      </c>
    </row>
    <row r="1544" spans="1:2" s="1" customFormat="1" x14ac:dyDescent="0.25">
      <c r="A1544" s="2" t="str">
        <f>IF(Сотрудники!A1551&lt;&gt;"",Сотрудники!A1551,"")</f>
        <v/>
      </c>
      <c r="B1544" s="1" t="str">
        <f>IF(Сотрудники!B1551 &lt;&gt; "",Сотрудники!B1551,"")</f>
        <v/>
      </c>
    </row>
    <row r="1545" spans="1:2" s="1" customFormat="1" x14ac:dyDescent="0.25">
      <c r="A1545" s="2" t="str">
        <f>IF(Сотрудники!A1552&lt;&gt;"",Сотрудники!A1552,"")</f>
        <v/>
      </c>
      <c r="B1545" s="1" t="str">
        <f>IF(Сотрудники!B1552 &lt;&gt; "",Сотрудники!B1552,"")</f>
        <v/>
      </c>
    </row>
    <row r="1546" spans="1:2" s="1" customFormat="1" x14ac:dyDescent="0.25">
      <c r="A1546" s="2" t="str">
        <f>IF(Сотрудники!A1553&lt;&gt;"",Сотрудники!A1553,"")</f>
        <v/>
      </c>
      <c r="B1546" s="1" t="str">
        <f>IF(Сотрудники!B1553 &lt;&gt; "",Сотрудники!B1553,"")</f>
        <v/>
      </c>
    </row>
    <row r="1547" spans="1:2" s="1" customFormat="1" x14ac:dyDescent="0.25">
      <c r="A1547" s="2" t="str">
        <f>IF(Сотрудники!A1554&lt;&gt;"",Сотрудники!A1554,"")</f>
        <v/>
      </c>
      <c r="B1547" s="1" t="str">
        <f>IF(Сотрудники!B1554 &lt;&gt; "",Сотрудники!B1554,"")</f>
        <v/>
      </c>
    </row>
    <row r="1548" spans="1:2" s="1" customFormat="1" x14ac:dyDescent="0.25">
      <c r="A1548" s="2" t="str">
        <f>IF(Сотрудники!A1555&lt;&gt;"",Сотрудники!A1555,"")</f>
        <v/>
      </c>
      <c r="B1548" s="1" t="str">
        <f>IF(Сотрудники!B1555 &lt;&gt; "",Сотрудники!B1555,"")</f>
        <v/>
      </c>
    </row>
    <row r="1549" spans="1:2" s="1" customFormat="1" x14ac:dyDescent="0.25">
      <c r="A1549" s="2" t="str">
        <f>IF(Сотрудники!A1556&lt;&gt;"",Сотрудники!A1556,"")</f>
        <v/>
      </c>
      <c r="B1549" s="1" t="str">
        <f>IF(Сотрудники!B1556 &lt;&gt; "",Сотрудники!B1556,"")</f>
        <v/>
      </c>
    </row>
    <row r="1550" spans="1:2" s="1" customFormat="1" x14ac:dyDescent="0.25">
      <c r="A1550" s="2" t="str">
        <f>IF(Сотрудники!A1557&lt;&gt;"",Сотрудники!A1557,"")</f>
        <v/>
      </c>
      <c r="B1550" s="1" t="str">
        <f>IF(Сотрудники!B1557 &lt;&gt; "",Сотрудники!B1557,"")</f>
        <v/>
      </c>
    </row>
    <row r="1551" spans="1:2" s="1" customFormat="1" x14ac:dyDescent="0.25">
      <c r="A1551" s="2" t="str">
        <f>IF(Сотрудники!A1558&lt;&gt;"",Сотрудники!A1558,"")</f>
        <v/>
      </c>
      <c r="B1551" s="1" t="str">
        <f>IF(Сотрудники!B1558 &lt;&gt; "",Сотрудники!B1558,"")</f>
        <v/>
      </c>
    </row>
    <row r="1552" spans="1:2" s="1" customFormat="1" x14ac:dyDescent="0.25">
      <c r="A1552" s="2" t="str">
        <f>IF(Сотрудники!A1559&lt;&gt;"",Сотрудники!A1559,"")</f>
        <v/>
      </c>
      <c r="B1552" s="1" t="str">
        <f>IF(Сотрудники!B1559 &lt;&gt; "",Сотрудники!B1559,"")</f>
        <v/>
      </c>
    </row>
    <row r="1553" spans="1:2" s="1" customFormat="1" x14ac:dyDescent="0.25">
      <c r="A1553" s="2" t="str">
        <f>IF(Сотрудники!A1560&lt;&gt;"",Сотрудники!A1560,"")</f>
        <v/>
      </c>
      <c r="B1553" s="1" t="str">
        <f>IF(Сотрудники!B1560 &lt;&gt; "",Сотрудники!B1560,"")</f>
        <v/>
      </c>
    </row>
    <row r="1554" spans="1:2" s="1" customFormat="1" x14ac:dyDescent="0.25">
      <c r="A1554" s="2" t="str">
        <f>IF(Сотрудники!A1561&lt;&gt;"",Сотрудники!A1561,"")</f>
        <v/>
      </c>
      <c r="B1554" s="1" t="str">
        <f>IF(Сотрудники!B1561 &lt;&gt; "",Сотрудники!B1561,"")</f>
        <v/>
      </c>
    </row>
    <row r="1555" spans="1:2" s="1" customFormat="1" x14ac:dyDescent="0.25">
      <c r="A1555" s="2" t="str">
        <f>IF(Сотрудники!A1562&lt;&gt;"",Сотрудники!A1562,"")</f>
        <v/>
      </c>
      <c r="B1555" s="1" t="str">
        <f>IF(Сотрудники!B1562 &lt;&gt; "",Сотрудники!B1562,"")</f>
        <v/>
      </c>
    </row>
    <row r="1556" spans="1:2" s="1" customFormat="1" x14ac:dyDescent="0.25">
      <c r="A1556" s="2" t="str">
        <f>IF(Сотрудники!A1563&lt;&gt;"",Сотрудники!A1563,"")</f>
        <v/>
      </c>
      <c r="B1556" s="1" t="str">
        <f>IF(Сотрудники!B1563 &lt;&gt; "",Сотрудники!B1563,"")</f>
        <v/>
      </c>
    </row>
    <row r="1557" spans="1:2" s="1" customFormat="1" x14ac:dyDescent="0.25">
      <c r="A1557" s="2" t="str">
        <f>IF(Сотрудники!A1564&lt;&gt;"",Сотрудники!A1564,"")</f>
        <v/>
      </c>
      <c r="B1557" s="1" t="str">
        <f>IF(Сотрудники!B1564 &lt;&gt; "",Сотрудники!B1564,"")</f>
        <v/>
      </c>
    </row>
    <row r="1558" spans="1:2" s="1" customFormat="1" x14ac:dyDescent="0.25">
      <c r="A1558" s="2" t="str">
        <f>IF(Сотрудники!A1565&lt;&gt;"",Сотрудники!A1565,"")</f>
        <v/>
      </c>
      <c r="B1558" s="1" t="str">
        <f>IF(Сотрудники!B1565 &lt;&gt; "",Сотрудники!B1565,"")</f>
        <v/>
      </c>
    </row>
    <row r="1559" spans="1:2" s="1" customFormat="1" x14ac:dyDescent="0.25">
      <c r="A1559" s="2" t="str">
        <f>IF(Сотрудники!A1566&lt;&gt;"",Сотрудники!A1566,"")</f>
        <v/>
      </c>
      <c r="B1559" s="1" t="str">
        <f>IF(Сотрудники!B1566 &lt;&gt; "",Сотрудники!B1566,"")</f>
        <v/>
      </c>
    </row>
    <row r="1560" spans="1:2" s="1" customFormat="1" x14ac:dyDescent="0.25">
      <c r="A1560" s="2" t="str">
        <f>IF(Сотрудники!A1567&lt;&gt;"",Сотрудники!A1567,"")</f>
        <v/>
      </c>
      <c r="B1560" s="1" t="str">
        <f>IF(Сотрудники!B1567 &lt;&gt; "",Сотрудники!B1567,"")</f>
        <v/>
      </c>
    </row>
    <row r="1561" spans="1:2" s="1" customFormat="1" x14ac:dyDescent="0.25">
      <c r="A1561" s="2" t="str">
        <f>IF(Сотрудники!A1568&lt;&gt;"",Сотрудники!A1568,"")</f>
        <v/>
      </c>
      <c r="B1561" s="1" t="str">
        <f>IF(Сотрудники!B1568 &lt;&gt; "",Сотрудники!B1568,"")</f>
        <v/>
      </c>
    </row>
    <row r="1562" spans="1:2" s="1" customFormat="1" x14ac:dyDescent="0.25">
      <c r="A1562" s="2" t="str">
        <f>IF(Сотрудники!A1569&lt;&gt;"",Сотрудники!A1569,"")</f>
        <v/>
      </c>
      <c r="B1562" s="1" t="str">
        <f>IF(Сотрудники!B1569 &lt;&gt; "",Сотрудники!B1569,"")</f>
        <v/>
      </c>
    </row>
    <row r="1563" spans="1:2" s="1" customFormat="1" x14ac:dyDescent="0.25">
      <c r="A1563" s="2" t="str">
        <f>IF(Сотрудники!A1570&lt;&gt;"",Сотрудники!A1570,"")</f>
        <v/>
      </c>
      <c r="B1563" s="1" t="str">
        <f>IF(Сотрудники!B1570 &lt;&gt; "",Сотрудники!B1570,"")</f>
        <v/>
      </c>
    </row>
    <row r="1564" spans="1:2" s="1" customFormat="1" x14ac:dyDescent="0.25">
      <c r="A1564" s="2" t="str">
        <f>IF(Сотрудники!A1571&lt;&gt;"",Сотрудники!A1571,"")</f>
        <v/>
      </c>
      <c r="B1564" s="1" t="str">
        <f>IF(Сотрудники!B1571 &lt;&gt; "",Сотрудники!B1571,"")</f>
        <v/>
      </c>
    </row>
    <row r="1565" spans="1:2" s="1" customFormat="1" x14ac:dyDescent="0.25">
      <c r="A1565" s="2" t="str">
        <f>IF(Сотрудники!A1572&lt;&gt;"",Сотрудники!A1572,"")</f>
        <v/>
      </c>
      <c r="B1565" s="1" t="str">
        <f>IF(Сотрудники!B1572 &lt;&gt; "",Сотрудники!B1572,"")</f>
        <v/>
      </c>
    </row>
    <row r="1566" spans="1:2" s="1" customFormat="1" x14ac:dyDescent="0.25">
      <c r="A1566" s="2" t="str">
        <f>IF(Сотрудники!A1573&lt;&gt;"",Сотрудники!A1573,"")</f>
        <v/>
      </c>
      <c r="B1566" s="1" t="str">
        <f>IF(Сотрудники!B1573 &lt;&gt; "",Сотрудники!B1573,"")</f>
        <v/>
      </c>
    </row>
    <row r="1567" spans="1:2" s="1" customFormat="1" x14ac:dyDescent="0.25">
      <c r="A1567" s="2" t="str">
        <f>IF(Сотрудники!A1574&lt;&gt;"",Сотрудники!A1574,"")</f>
        <v/>
      </c>
      <c r="B1567" s="1" t="str">
        <f>IF(Сотрудники!B1574 &lt;&gt; "",Сотрудники!B1574,"")</f>
        <v/>
      </c>
    </row>
    <row r="1568" spans="1:2" s="1" customFormat="1" x14ac:dyDescent="0.25">
      <c r="A1568" s="2" t="str">
        <f>IF(Сотрудники!A1575&lt;&gt;"",Сотрудники!A1575,"")</f>
        <v/>
      </c>
      <c r="B1568" s="1" t="str">
        <f>IF(Сотрудники!B1575 &lt;&gt; "",Сотрудники!B1575,"")</f>
        <v/>
      </c>
    </row>
    <row r="1569" spans="1:2" s="1" customFormat="1" x14ac:dyDescent="0.25">
      <c r="A1569" s="2" t="str">
        <f>IF(Сотрудники!A1576&lt;&gt;"",Сотрудники!A1576,"")</f>
        <v/>
      </c>
      <c r="B1569" s="1" t="str">
        <f>IF(Сотрудники!B1576 &lt;&gt; "",Сотрудники!B1576,"")</f>
        <v/>
      </c>
    </row>
    <row r="1570" spans="1:2" s="1" customFormat="1" x14ac:dyDescent="0.25">
      <c r="A1570" s="2" t="str">
        <f>IF(Сотрудники!A1577&lt;&gt;"",Сотрудники!A1577,"")</f>
        <v/>
      </c>
      <c r="B1570" s="1" t="str">
        <f>IF(Сотрудники!B1577 &lt;&gt; "",Сотрудники!B1577,"")</f>
        <v/>
      </c>
    </row>
    <row r="1571" spans="1:2" s="1" customFormat="1" x14ac:dyDescent="0.25">
      <c r="A1571" s="2" t="str">
        <f>IF(Сотрудники!A1578&lt;&gt;"",Сотрудники!A1578,"")</f>
        <v/>
      </c>
      <c r="B1571" s="1" t="str">
        <f>IF(Сотрудники!B1578 &lt;&gt; "",Сотрудники!B1578,"")</f>
        <v/>
      </c>
    </row>
    <row r="1572" spans="1:2" s="1" customFormat="1" x14ac:dyDescent="0.25">
      <c r="A1572" s="2" t="str">
        <f>IF(Сотрудники!A1579&lt;&gt;"",Сотрудники!A1579,"")</f>
        <v/>
      </c>
      <c r="B1572" s="1" t="str">
        <f>IF(Сотрудники!B1579 &lt;&gt; "",Сотрудники!B1579,"")</f>
        <v/>
      </c>
    </row>
    <row r="1573" spans="1:2" s="1" customFormat="1" x14ac:dyDescent="0.25">
      <c r="A1573" s="2" t="str">
        <f>IF(Сотрудники!A1580&lt;&gt;"",Сотрудники!A1580,"")</f>
        <v/>
      </c>
      <c r="B1573" s="1" t="str">
        <f>IF(Сотрудники!B1580 &lt;&gt; "",Сотрудники!B1580,"")</f>
        <v/>
      </c>
    </row>
    <row r="1574" spans="1:2" s="1" customFormat="1" x14ac:dyDescent="0.25">
      <c r="A1574" s="2" t="str">
        <f>IF(Сотрудники!A1581&lt;&gt;"",Сотрудники!A1581,"")</f>
        <v/>
      </c>
      <c r="B1574" s="1" t="str">
        <f>IF(Сотрудники!B1581 &lt;&gt; "",Сотрудники!B1581,"")</f>
        <v/>
      </c>
    </row>
    <row r="1575" spans="1:2" s="1" customFormat="1" x14ac:dyDescent="0.25">
      <c r="A1575" s="2" t="str">
        <f>IF(Сотрудники!A1582&lt;&gt;"",Сотрудники!A1582,"")</f>
        <v/>
      </c>
      <c r="B1575" s="1" t="str">
        <f>IF(Сотрудники!B1582 &lt;&gt; "",Сотрудники!B1582,"")</f>
        <v/>
      </c>
    </row>
    <row r="1576" spans="1:2" s="1" customFormat="1" x14ac:dyDescent="0.25">
      <c r="A1576" s="2" t="str">
        <f>IF(Сотрудники!A1583&lt;&gt;"",Сотрудники!A1583,"")</f>
        <v/>
      </c>
      <c r="B1576" s="1" t="str">
        <f>IF(Сотрудники!B1583 &lt;&gt; "",Сотрудники!B1583,"")</f>
        <v/>
      </c>
    </row>
    <row r="1577" spans="1:2" s="1" customFormat="1" x14ac:dyDescent="0.25">
      <c r="A1577" s="2" t="str">
        <f>IF(Сотрудники!A1584&lt;&gt;"",Сотрудники!A1584,"")</f>
        <v/>
      </c>
      <c r="B1577" s="1" t="str">
        <f>IF(Сотрудники!B1584 &lt;&gt; "",Сотрудники!B1584,"")</f>
        <v/>
      </c>
    </row>
    <row r="1578" spans="1:2" s="1" customFormat="1" x14ac:dyDescent="0.25">
      <c r="A1578" s="2" t="str">
        <f>IF(Сотрудники!A1585&lt;&gt;"",Сотрудники!A1585,"")</f>
        <v/>
      </c>
      <c r="B1578" s="1" t="str">
        <f>IF(Сотрудники!B1585 &lt;&gt; "",Сотрудники!B1585,"")</f>
        <v/>
      </c>
    </row>
    <row r="1579" spans="1:2" s="1" customFormat="1" x14ac:dyDescent="0.25">
      <c r="A1579" s="2" t="str">
        <f>IF(Сотрудники!A1586&lt;&gt;"",Сотрудники!A1586,"")</f>
        <v/>
      </c>
      <c r="B1579" s="1" t="str">
        <f>IF(Сотрудники!B1586 &lt;&gt; "",Сотрудники!B1586,"")</f>
        <v/>
      </c>
    </row>
    <row r="1580" spans="1:2" s="1" customFormat="1" x14ac:dyDescent="0.25">
      <c r="A1580" s="2" t="str">
        <f>IF(Сотрудники!A1587&lt;&gt;"",Сотрудники!A1587,"")</f>
        <v/>
      </c>
      <c r="B1580" s="1" t="str">
        <f>IF(Сотрудники!B1587 &lt;&gt; "",Сотрудники!B1587,"")</f>
        <v/>
      </c>
    </row>
    <row r="1581" spans="1:2" s="1" customFormat="1" x14ac:dyDescent="0.25">
      <c r="A1581" s="2" t="str">
        <f>IF(Сотрудники!A1588&lt;&gt;"",Сотрудники!A1588,"")</f>
        <v/>
      </c>
      <c r="B1581" s="1" t="str">
        <f>IF(Сотрудники!B1588 &lt;&gt; "",Сотрудники!B1588,"")</f>
        <v/>
      </c>
    </row>
    <row r="1582" spans="1:2" s="1" customFormat="1" x14ac:dyDescent="0.25">
      <c r="A1582" s="2" t="str">
        <f>IF(Сотрудники!A1589&lt;&gt;"",Сотрудники!A1589,"")</f>
        <v/>
      </c>
      <c r="B1582" s="1" t="str">
        <f>IF(Сотрудники!B1589 &lt;&gt; "",Сотрудники!B1589,"")</f>
        <v/>
      </c>
    </row>
    <row r="1583" spans="1:2" s="1" customFormat="1" x14ac:dyDescent="0.25">
      <c r="A1583" s="2" t="str">
        <f>IF(Сотрудники!A1590&lt;&gt;"",Сотрудники!A1590,"")</f>
        <v/>
      </c>
      <c r="B1583" s="1" t="str">
        <f>IF(Сотрудники!B1590 &lt;&gt; "",Сотрудники!B1590,"")</f>
        <v/>
      </c>
    </row>
    <row r="1584" spans="1:2" s="1" customFormat="1" x14ac:dyDescent="0.25">
      <c r="A1584" s="2" t="str">
        <f>IF(Сотрудники!A1591&lt;&gt;"",Сотрудники!A1591,"")</f>
        <v/>
      </c>
      <c r="B1584" s="1" t="str">
        <f>IF(Сотрудники!B1591 &lt;&gt; "",Сотрудники!B1591,"")</f>
        <v/>
      </c>
    </row>
    <row r="1585" spans="1:2" s="1" customFormat="1" x14ac:dyDescent="0.25">
      <c r="A1585" s="2" t="str">
        <f>IF(Сотрудники!A1592&lt;&gt;"",Сотрудники!A1592,"")</f>
        <v/>
      </c>
      <c r="B1585" s="1" t="str">
        <f>IF(Сотрудники!B1592 &lt;&gt; "",Сотрудники!B1592,"")</f>
        <v/>
      </c>
    </row>
    <row r="1586" spans="1:2" s="1" customFormat="1" x14ac:dyDescent="0.25">
      <c r="A1586" s="2" t="str">
        <f>IF(Сотрудники!A1593&lt;&gt;"",Сотрудники!A1593,"")</f>
        <v/>
      </c>
      <c r="B1586" s="1" t="str">
        <f>IF(Сотрудники!B1593 &lt;&gt; "",Сотрудники!B1593,"")</f>
        <v/>
      </c>
    </row>
    <row r="1587" spans="1:2" s="1" customFormat="1" x14ac:dyDescent="0.25">
      <c r="A1587" s="2" t="str">
        <f>IF(Сотрудники!A1594&lt;&gt;"",Сотрудники!A1594,"")</f>
        <v/>
      </c>
      <c r="B1587" s="1" t="str">
        <f>IF(Сотрудники!B1594 &lt;&gt; "",Сотрудники!B1594,"")</f>
        <v/>
      </c>
    </row>
    <row r="1588" spans="1:2" s="1" customFormat="1" x14ac:dyDescent="0.25">
      <c r="A1588" s="2" t="str">
        <f>IF(Сотрудники!A1595&lt;&gt;"",Сотрудники!A1595,"")</f>
        <v/>
      </c>
      <c r="B1588" s="1" t="str">
        <f>IF(Сотрудники!B1595 &lt;&gt; "",Сотрудники!B1595,"")</f>
        <v/>
      </c>
    </row>
    <row r="1589" spans="1:2" s="1" customFormat="1" x14ac:dyDescent="0.25">
      <c r="A1589" s="2" t="str">
        <f>IF(Сотрудники!A1596&lt;&gt;"",Сотрудники!A1596,"")</f>
        <v/>
      </c>
      <c r="B1589" s="1" t="str">
        <f>IF(Сотрудники!B1596 &lt;&gt; "",Сотрудники!B1596,"")</f>
        <v/>
      </c>
    </row>
    <row r="1590" spans="1:2" s="1" customFormat="1" x14ac:dyDescent="0.25">
      <c r="A1590" s="2" t="str">
        <f>IF(Сотрудники!A1597&lt;&gt;"",Сотрудники!A1597,"")</f>
        <v/>
      </c>
      <c r="B1590" s="1" t="str">
        <f>IF(Сотрудники!B1597 &lt;&gt; "",Сотрудники!B1597,"")</f>
        <v/>
      </c>
    </row>
    <row r="1591" spans="1:2" s="1" customFormat="1" x14ac:dyDescent="0.25">
      <c r="A1591" s="2" t="str">
        <f>IF(Сотрудники!A1598&lt;&gt;"",Сотрудники!A1598,"")</f>
        <v/>
      </c>
      <c r="B1591" s="1" t="str">
        <f>IF(Сотрудники!B1598 &lt;&gt; "",Сотрудники!B1598,"")</f>
        <v/>
      </c>
    </row>
    <row r="1592" spans="1:2" s="1" customFormat="1" x14ac:dyDescent="0.25">
      <c r="A1592" s="2" t="str">
        <f>IF(Сотрудники!A1599&lt;&gt;"",Сотрудники!A1599,"")</f>
        <v/>
      </c>
      <c r="B1592" s="1" t="str">
        <f>IF(Сотрудники!B1599 &lt;&gt; "",Сотрудники!B1599,"")</f>
        <v/>
      </c>
    </row>
    <row r="1593" spans="1:2" s="1" customFormat="1" x14ac:dyDescent="0.25">
      <c r="A1593" s="2" t="str">
        <f>IF(Сотрудники!A1600&lt;&gt;"",Сотрудники!A1600,"")</f>
        <v/>
      </c>
      <c r="B1593" s="1" t="str">
        <f>IF(Сотрудники!B1600 &lt;&gt; "",Сотрудники!B1600,"")</f>
        <v/>
      </c>
    </row>
    <row r="1594" spans="1:2" s="1" customFormat="1" x14ac:dyDescent="0.25">
      <c r="A1594" s="2" t="str">
        <f>IF(Сотрудники!A1601&lt;&gt;"",Сотрудники!A1601,"")</f>
        <v/>
      </c>
      <c r="B1594" s="1" t="str">
        <f>IF(Сотрудники!B1601 &lt;&gt; "",Сотрудники!B1601,"")</f>
        <v/>
      </c>
    </row>
    <row r="1595" spans="1:2" s="1" customFormat="1" x14ac:dyDescent="0.25">
      <c r="A1595" s="2" t="str">
        <f>IF(Сотрудники!A1602&lt;&gt;"",Сотрудники!A1602,"")</f>
        <v/>
      </c>
      <c r="B1595" s="1" t="str">
        <f>IF(Сотрудники!B1602 &lt;&gt; "",Сотрудники!B1602,"")</f>
        <v/>
      </c>
    </row>
    <row r="1596" spans="1:2" s="1" customFormat="1" x14ac:dyDescent="0.25">
      <c r="A1596" s="2" t="str">
        <f>IF(Сотрудники!A1603&lt;&gt;"",Сотрудники!A1603,"")</f>
        <v/>
      </c>
      <c r="B1596" s="1" t="str">
        <f>IF(Сотрудники!B1603 &lt;&gt; "",Сотрудники!B1603,"")</f>
        <v/>
      </c>
    </row>
    <row r="1597" spans="1:2" s="1" customFormat="1" x14ac:dyDescent="0.25">
      <c r="A1597" s="2" t="str">
        <f>IF(Сотрудники!A1604&lt;&gt;"",Сотрудники!A1604,"")</f>
        <v/>
      </c>
      <c r="B1597" s="1" t="str">
        <f>IF(Сотрудники!B1604 &lt;&gt; "",Сотрудники!B1604,"")</f>
        <v/>
      </c>
    </row>
    <row r="1598" spans="1:2" s="1" customFormat="1" x14ac:dyDescent="0.25">
      <c r="A1598" s="2" t="str">
        <f>IF(Сотрудники!A1605&lt;&gt;"",Сотрудники!A1605,"")</f>
        <v/>
      </c>
      <c r="B1598" s="1" t="str">
        <f>IF(Сотрудники!B1605 &lt;&gt; "",Сотрудники!B1605,"")</f>
        <v/>
      </c>
    </row>
    <row r="1599" spans="1:2" s="1" customFormat="1" x14ac:dyDescent="0.25">
      <c r="A1599" s="2" t="str">
        <f>IF(Сотрудники!A1606&lt;&gt;"",Сотрудники!A1606,"")</f>
        <v/>
      </c>
      <c r="B1599" s="1" t="str">
        <f>IF(Сотрудники!B1606 &lt;&gt; "",Сотрудники!B1606,"")</f>
        <v/>
      </c>
    </row>
    <row r="1600" spans="1:2" s="1" customFormat="1" x14ac:dyDescent="0.25">
      <c r="A1600" s="2" t="str">
        <f>IF(Сотрудники!A1607&lt;&gt;"",Сотрудники!A1607,"")</f>
        <v/>
      </c>
      <c r="B1600" s="1" t="str">
        <f>IF(Сотрудники!B1607 &lt;&gt; "",Сотрудники!B1607,"")</f>
        <v/>
      </c>
    </row>
    <row r="1601" spans="1:2" s="1" customFormat="1" x14ac:dyDescent="0.25">
      <c r="A1601" s="2" t="str">
        <f>IF(Сотрудники!A1608&lt;&gt;"",Сотрудники!A1608,"")</f>
        <v/>
      </c>
      <c r="B1601" s="1" t="str">
        <f>IF(Сотрудники!B1608 &lt;&gt; "",Сотрудники!B1608,"")</f>
        <v/>
      </c>
    </row>
    <row r="1602" spans="1:2" s="1" customFormat="1" x14ac:dyDescent="0.25">
      <c r="A1602" s="2" t="str">
        <f>IF(Сотрудники!A1609&lt;&gt;"",Сотрудники!A1609,"")</f>
        <v/>
      </c>
      <c r="B1602" s="1" t="str">
        <f>IF(Сотрудники!B1609 &lt;&gt; "",Сотрудники!B1609,"")</f>
        <v/>
      </c>
    </row>
    <row r="1603" spans="1:2" s="1" customFormat="1" x14ac:dyDescent="0.25">
      <c r="A1603" s="2" t="str">
        <f>IF(Сотрудники!A1610&lt;&gt;"",Сотрудники!A1610,"")</f>
        <v/>
      </c>
      <c r="B1603" s="1" t="str">
        <f>IF(Сотрудники!B1610 &lt;&gt; "",Сотрудники!B1610,"")</f>
        <v/>
      </c>
    </row>
    <row r="1604" spans="1:2" s="1" customFormat="1" x14ac:dyDescent="0.25">
      <c r="A1604" s="2" t="str">
        <f>IF(Сотрудники!A1611&lt;&gt;"",Сотрудники!A1611,"")</f>
        <v/>
      </c>
      <c r="B1604" s="1" t="str">
        <f>IF(Сотрудники!B1611 &lt;&gt; "",Сотрудники!B1611,"")</f>
        <v/>
      </c>
    </row>
    <row r="1605" spans="1:2" s="1" customFormat="1" x14ac:dyDescent="0.25">
      <c r="A1605" s="2" t="str">
        <f>IF(Сотрудники!A1612&lt;&gt;"",Сотрудники!A1612,"")</f>
        <v/>
      </c>
      <c r="B1605" s="1" t="str">
        <f>IF(Сотрудники!B1612 &lt;&gt; "",Сотрудники!B1612,"")</f>
        <v/>
      </c>
    </row>
    <row r="1606" spans="1:2" s="1" customFormat="1" x14ac:dyDescent="0.25">
      <c r="A1606" s="2" t="str">
        <f>IF(Сотрудники!A1613&lt;&gt;"",Сотрудники!A1613,"")</f>
        <v/>
      </c>
      <c r="B1606" s="1" t="str">
        <f>IF(Сотрудники!B1613 &lt;&gt; "",Сотрудники!B1613,"")</f>
        <v/>
      </c>
    </row>
    <row r="1607" spans="1:2" s="1" customFormat="1" x14ac:dyDescent="0.25">
      <c r="A1607" s="2" t="str">
        <f>IF(Сотрудники!A1614&lt;&gt;"",Сотрудники!A1614,"")</f>
        <v/>
      </c>
      <c r="B1607" s="1" t="str">
        <f>IF(Сотрудники!B1614 &lt;&gt; "",Сотрудники!B1614,"")</f>
        <v/>
      </c>
    </row>
    <row r="1608" spans="1:2" s="1" customFormat="1" x14ac:dyDescent="0.25">
      <c r="A1608" s="2" t="str">
        <f>IF(Сотрудники!A1615&lt;&gt;"",Сотрудники!A1615,"")</f>
        <v/>
      </c>
      <c r="B1608" s="1" t="str">
        <f>IF(Сотрудники!B1615 &lt;&gt; "",Сотрудники!B1615,"")</f>
        <v/>
      </c>
    </row>
    <row r="1609" spans="1:2" s="1" customFormat="1" x14ac:dyDescent="0.25">
      <c r="A1609" s="2" t="str">
        <f>IF(Сотрудники!A1616&lt;&gt;"",Сотрудники!A1616,"")</f>
        <v/>
      </c>
      <c r="B1609" s="1" t="str">
        <f>IF(Сотрудники!B1616 &lt;&gt; "",Сотрудники!B1616,"")</f>
        <v/>
      </c>
    </row>
    <row r="1610" spans="1:2" s="1" customFormat="1" x14ac:dyDescent="0.25">
      <c r="A1610" s="2" t="str">
        <f>IF(Сотрудники!A1617&lt;&gt;"",Сотрудники!A1617,"")</f>
        <v/>
      </c>
      <c r="B1610" s="1" t="str">
        <f>IF(Сотрудники!B1617 &lt;&gt; "",Сотрудники!B1617,"")</f>
        <v/>
      </c>
    </row>
    <row r="1611" spans="1:2" s="1" customFormat="1" x14ac:dyDescent="0.25">
      <c r="A1611" s="2" t="str">
        <f>IF(Сотрудники!A1618&lt;&gt;"",Сотрудники!A1618,"")</f>
        <v/>
      </c>
      <c r="B1611" s="1" t="str">
        <f>IF(Сотрудники!B1618 &lt;&gt; "",Сотрудники!B1618,"")</f>
        <v/>
      </c>
    </row>
    <row r="1612" spans="1:2" s="1" customFormat="1" x14ac:dyDescent="0.25">
      <c r="A1612" s="2" t="str">
        <f>IF(Сотрудники!A1619&lt;&gt;"",Сотрудники!A1619,"")</f>
        <v/>
      </c>
      <c r="B1612" s="1" t="str">
        <f>IF(Сотрудники!B1619 &lt;&gt; "",Сотрудники!B1619,"")</f>
        <v/>
      </c>
    </row>
    <row r="1613" spans="1:2" s="1" customFormat="1" x14ac:dyDescent="0.25">
      <c r="A1613" s="2" t="str">
        <f>IF(Сотрудники!A1620&lt;&gt;"",Сотрудники!A1620,"")</f>
        <v/>
      </c>
      <c r="B1613" s="1" t="str">
        <f>IF(Сотрудники!B1620 &lt;&gt; "",Сотрудники!B1620,"")</f>
        <v/>
      </c>
    </row>
    <row r="1614" spans="1:2" s="1" customFormat="1" x14ac:dyDescent="0.25">
      <c r="A1614" s="2" t="str">
        <f>IF(Сотрудники!A1621&lt;&gt;"",Сотрудники!A1621,"")</f>
        <v/>
      </c>
      <c r="B1614" s="1" t="str">
        <f>IF(Сотрудники!B1621 &lt;&gt; "",Сотрудники!B1621,"")</f>
        <v/>
      </c>
    </row>
    <row r="1615" spans="1:2" s="1" customFormat="1" x14ac:dyDescent="0.25">
      <c r="A1615" s="2" t="str">
        <f>IF(Сотрудники!A1622&lt;&gt;"",Сотрудники!A1622,"")</f>
        <v/>
      </c>
      <c r="B1615" s="1" t="str">
        <f>IF(Сотрудники!B1622 &lt;&gt; "",Сотрудники!B1622,"")</f>
        <v/>
      </c>
    </row>
    <row r="1616" spans="1:2" s="1" customFormat="1" x14ac:dyDescent="0.25">
      <c r="A1616" s="2" t="str">
        <f>IF(Сотрудники!A1623&lt;&gt;"",Сотрудники!A1623,"")</f>
        <v/>
      </c>
      <c r="B1616" s="1" t="str">
        <f>IF(Сотрудники!B1623 &lt;&gt; "",Сотрудники!B1623,"")</f>
        <v/>
      </c>
    </row>
    <row r="1617" spans="1:2" s="1" customFormat="1" x14ac:dyDescent="0.25">
      <c r="A1617" s="2" t="str">
        <f>IF(Сотрудники!A1624&lt;&gt;"",Сотрудники!A1624,"")</f>
        <v/>
      </c>
      <c r="B1617" s="1" t="str">
        <f>IF(Сотрудники!B1624 &lt;&gt; "",Сотрудники!B1624,"")</f>
        <v/>
      </c>
    </row>
    <row r="1618" spans="1:2" s="1" customFormat="1" x14ac:dyDescent="0.25">
      <c r="A1618" s="2" t="str">
        <f>IF(Сотрудники!A1625&lt;&gt;"",Сотрудники!A1625,"")</f>
        <v/>
      </c>
      <c r="B1618" s="1" t="str">
        <f>IF(Сотрудники!B1625 &lt;&gt; "",Сотрудники!B1625,"")</f>
        <v/>
      </c>
    </row>
    <row r="1619" spans="1:2" s="1" customFormat="1" x14ac:dyDescent="0.25">
      <c r="A1619" s="2" t="str">
        <f>IF(Сотрудники!A1626&lt;&gt;"",Сотрудники!A1626,"")</f>
        <v/>
      </c>
      <c r="B1619" s="1" t="str">
        <f>IF(Сотрудники!B1626 &lt;&gt; "",Сотрудники!B1626,"")</f>
        <v/>
      </c>
    </row>
    <row r="1620" spans="1:2" s="1" customFormat="1" x14ac:dyDescent="0.25">
      <c r="A1620" s="2" t="str">
        <f>IF(Сотрудники!A1627&lt;&gt;"",Сотрудники!A1627,"")</f>
        <v/>
      </c>
      <c r="B1620" s="1" t="str">
        <f>IF(Сотрудники!B1627 &lt;&gt; "",Сотрудники!B1627,"")</f>
        <v/>
      </c>
    </row>
    <row r="1621" spans="1:2" s="1" customFormat="1" x14ac:dyDescent="0.25">
      <c r="A1621" s="2" t="str">
        <f>IF(Сотрудники!A1628&lt;&gt;"",Сотрудники!A1628,"")</f>
        <v/>
      </c>
      <c r="B1621" s="1" t="str">
        <f>IF(Сотрудники!B1628 &lt;&gt; "",Сотрудники!B1628,"")</f>
        <v/>
      </c>
    </row>
    <row r="1622" spans="1:2" s="1" customFormat="1" x14ac:dyDescent="0.25">
      <c r="A1622" s="2" t="str">
        <f>IF(Сотрудники!A1629&lt;&gt;"",Сотрудники!A1629,"")</f>
        <v/>
      </c>
      <c r="B1622" s="1" t="str">
        <f>IF(Сотрудники!B1629 &lt;&gt; "",Сотрудники!B1629,"")</f>
        <v/>
      </c>
    </row>
    <row r="1623" spans="1:2" s="1" customFormat="1" x14ac:dyDescent="0.25">
      <c r="A1623" s="2" t="str">
        <f>IF(Сотрудники!A1630&lt;&gt;"",Сотрудники!A1630,"")</f>
        <v/>
      </c>
      <c r="B1623" s="1" t="str">
        <f>IF(Сотрудники!B1630 &lt;&gt; "",Сотрудники!B1630,"")</f>
        <v/>
      </c>
    </row>
    <row r="1624" spans="1:2" s="1" customFormat="1" x14ac:dyDescent="0.25">
      <c r="A1624" s="2" t="str">
        <f>IF(Сотрудники!A1631&lt;&gt;"",Сотрудники!A1631,"")</f>
        <v/>
      </c>
      <c r="B1624" s="1" t="str">
        <f>IF(Сотрудники!B1631 &lt;&gt; "",Сотрудники!B1631,"")</f>
        <v/>
      </c>
    </row>
    <row r="1625" spans="1:2" s="1" customFormat="1" x14ac:dyDescent="0.25">
      <c r="A1625" s="2" t="str">
        <f>IF(Сотрудники!A1632&lt;&gt;"",Сотрудники!A1632,"")</f>
        <v/>
      </c>
      <c r="B1625" s="1" t="str">
        <f>IF(Сотрудники!B1632 &lt;&gt; "",Сотрудники!B1632,"")</f>
        <v/>
      </c>
    </row>
    <row r="1626" spans="1:2" s="1" customFormat="1" x14ac:dyDescent="0.25">
      <c r="A1626" s="2" t="str">
        <f>IF(Сотрудники!A1633&lt;&gt;"",Сотрудники!A1633,"")</f>
        <v/>
      </c>
      <c r="B1626" s="1" t="str">
        <f>IF(Сотрудники!B1633 &lt;&gt; "",Сотрудники!B1633,"")</f>
        <v/>
      </c>
    </row>
    <row r="1627" spans="1:2" s="1" customFormat="1" x14ac:dyDescent="0.25">
      <c r="A1627" s="2" t="str">
        <f>IF(Сотрудники!A1634&lt;&gt;"",Сотрудники!A1634,"")</f>
        <v/>
      </c>
      <c r="B1627" s="1" t="str">
        <f>IF(Сотрудники!B1634 &lt;&gt; "",Сотрудники!B1634,"")</f>
        <v/>
      </c>
    </row>
    <row r="1628" spans="1:2" s="1" customFormat="1" x14ac:dyDescent="0.25">
      <c r="A1628" s="2" t="str">
        <f>IF(Сотрудники!A1635&lt;&gt;"",Сотрудники!A1635,"")</f>
        <v/>
      </c>
      <c r="B1628" s="1" t="str">
        <f>IF(Сотрудники!B1635 &lt;&gt; "",Сотрудники!B1635,"")</f>
        <v/>
      </c>
    </row>
    <row r="1629" spans="1:2" s="1" customFormat="1" x14ac:dyDescent="0.25">
      <c r="A1629" s="2" t="str">
        <f>IF(Сотрудники!A1636&lt;&gt;"",Сотрудники!A1636,"")</f>
        <v/>
      </c>
      <c r="B1629" s="1" t="str">
        <f>IF(Сотрудники!B1636 &lt;&gt; "",Сотрудники!B1636,"")</f>
        <v/>
      </c>
    </row>
    <row r="1630" spans="1:2" s="1" customFormat="1" x14ac:dyDescent="0.25">
      <c r="A1630" s="2" t="str">
        <f>IF(Сотрудники!A1637&lt;&gt;"",Сотрудники!A1637,"")</f>
        <v/>
      </c>
      <c r="B1630" s="1" t="str">
        <f>IF(Сотрудники!B1637 &lt;&gt; "",Сотрудники!B1637,"")</f>
        <v/>
      </c>
    </row>
    <row r="1631" spans="1:2" s="1" customFormat="1" x14ac:dyDescent="0.25">
      <c r="A1631" s="2" t="str">
        <f>IF(Сотрудники!A1638&lt;&gt;"",Сотрудники!A1638,"")</f>
        <v/>
      </c>
      <c r="B1631" s="1" t="str">
        <f>IF(Сотрудники!B1638 &lt;&gt; "",Сотрудники!B1638,"")</f>
        <v/>
      </c>
    </row>
    <row r="1632" spans="1:2" s="1" customFormat="1" x14ac:dyDescent="0.25">
      <c r="A1632" s="2" t="str">
        <f>IF(Сотрудники!A1639&lt;&gt;"",Сотрудники!A1639,"")</f>
        <v/>
      </c>
      <c r="B1632" s="1" t="str">
        <f>IF(Сотрудники!B1639 &lt;&gt; "",Сотрудники!B1639,"")</f>
        <v/>
      </c>
    </row>
    <row r="1633" spans="1:2" s="1" customFormat="1" x14ac:dyDescent="0.25">
      <c r="A1633" s="2" t="str">
        <f>IF(Сотрудники!A1640&lt;&gt;"",Сотрудники!A1640,"")</f>
        <v/>
      </c>
      <c r="B1633" s="1" t="str">
        <f>IF(Сотрудники!B1640 &lt;&gt; "",Сотрудники!B1640,"")</f>
        <v/>
      </c>
    </row>
    <row r="1634" spans="1:2" s="1" customFormat="1" x14ac:dyDescent="0.25">
      <c r="A1634" s="2" t="str">
        <f>IF(Сотрудники!A1641&lt;&gt;"",Сотрудники!A1641,"")</f>
        <v/>
      </c>
      <c r="B1634" s="1" t="str">
        <f>IF(Сотрудники!B1641 &lt;&gt; "",Сотрудники!B1641,"")</f>
        <v/>
      </c>
    </row>
    <row r="1635" spans="1:2" s="1" customFormat="1" x14ac:dyDescent="0.25">
      <c r="A1635" s="2" t="str">
        <f>IF(Сотрудники!A1642&lt;&gt;"",Сотрудники!A1642,"")</f>
        <v/>
      </c>
      <c r="B1635" s="1" t="str">
        <f>IF(Сотрудники!B1642 &lt;&gt; "",Сотрудники!B1642,"")</f>
        <v/>
      </c>
    </row>
    <row r="1636" spans="1:2" s="1" customFormat="1" x14ac:dyDescent="0.25">
      <c r="A1636" s="2" t="str">
        <f>IF(Сотрудники!A1643&lt;&gt;"",Сотрудники!A1643,"")</f>
        <v/>
      </c>
      <c r="B1636" s="1" t="str">
        <f>IF(Сотрудники!B1643 &lt;&gt; "",Сотрудники!B1643,"")</f>
        <v/>
      </c>
    </row>
    <row r="1637" spans="1:2" s="1" customFormat="1" x14ac:dyDescent="0.25">
      <c r="A1637" s="2" t="str">
        <f>IF(Сотрудники!A1644&lt;&gt;"",Сотрудники!A1644,"")</f>
        <v/>
      </c>
      <c r="B1637" s="1" t="str">
        <f>IF(Сотрудники!B1644 &lt;&gt; "",Сотрудники!B1644,"")</f>
        <v/>
      </c>
    </row>
    <row r="1638" spans="1:2" s="1" customFormat="1" x14ac:dyDescent="0.25">
      <c r="A1638" s="2" t="str">
        <f>IF(Сотрудники!A1645&lt;&gt;"",Сотрудники!A1645,"")</f>
        <v/>
      </c>
      <c r="B1638" s="1" t="str">
        <f>IF(Сотрудники!B1645 &lt;&gt; "",Сотрудники!B1645,"")</f>
        <v/>
      </c>
    </row>
    <row r="1639" spans="1:2" s="1" customFormat="1" x14ac:dyDescent="0.25">
      <c r="A1639" s="2" t="str">
        <f>IF(Сотрудники!A1646&lt;&gt;"",Сотрудники!A1646,"")</f>
        <v/>
      </c>
      <c r="B1639" s="1" t="str">
        <f>IF(Сотрудники!B1646 &lt;&gt; "",Сотрудники!B1646,"")</f>
        <v/>
      </c>
    </row>
    <row r="1640" spans="1:2" s="1" customFormat="1" x14ac:dyDescent="0.25">
      <c r="A1640" s="2" t="str">
        <f>IF(Сотрудники!A1647&lt;&gt;"",Сотрудники!A1647,"")</f>
        <v/>
      </c>
      <c r="B1640" s="1" t="str">
        <f>IF(Сотрудники!B1647 &lt;&gt; "",Сотрудники!B1647,"")</f>
        <v/>
      </c>
    </row>
    <row r="1641" spans="1:2" s="1" customFormat="1" x14ac:dyDescent="0.25">
      <c r="A1641" s="2" t="str">
        <f>IF(Сотрудники!A1648&lt;&gt;"",Сотрудники!A1648,"")</f>
        <v/>
      </c>
      <c r="B1641" s="1" t="str">
        <f>IF(Сотрудники!B1648 &lt;&gt; "",Сотрудники!B1648,"")</f>
        <v/>
      </c>
    </row>
    <row r="1642" spans="1:2" s="1" customFormat="1" x14ac:dyDescent="0.25">
      <c r="A1642" s="2" t="str">
        <f>IF(Сотрудники!A1649&lt;&gt;"",Сотрудники!A1649,"")</f>
        <v/>
      </c>
      <c r="B1642" s="1" t="str">
        <f>IF(Сотрудники!B1649 &lt;&gt; "",Сотрудники!B1649,"")</f>
        <v/>
      </c>
    </row>
    <row r="1643" spans="1:2" s="1" customFormat="1" x14ac:dyDescent="0.25">
      <c r="A1643" s="2" t="str">
        <f>IF(Сотрудники!A1650&lt;&gt;"",Сотрудники!A1650,"")</f>
        <v/>
      </c>
      <c r="B1643" s="1" t="str">
        <f>IF(Сотрудники!B1650 &lt;&gt; "",Сотрудники!B1650,"")</f>
        <v/>
      </c>
    </row>
    <row r="1644" spans="1:2" s="1" customFormat="1" x14ac:dyDescent="0.25">
      <c r="A1644" s="2" t="str">
        <f>IF(Сотрудники!A1651&lt;&gt;"",Сотрудники!A1651,"")</f>
        <v/>
      </c>
      <c r="B1644" s="1" t="str">
        <f>IF(Сотрудники!B1651 &lt;&gt; "",Сотрудники!B1651,"")</f>
        <v/>
      </c>
    </row>
    <row r="1645" spans="1:2" s="1" customFormat="1" x14ac:dyDescent="0.25">
      <c r="A1645" s="2" t="str">
        <f>IF(Сотрудники!A1652&lt;&gt;"",Сотрудники!A1652,"")</f>
        <v/>
      </c>
      <c r="B1645" s="1" t="str">
        <f>IF(Сотрудники!B1652 &lt;&gt; "",Сотрудники!B1652,"")</f>
        <v/>
      </c>
    </row>
    <row r="1646" spans="1:2" s="1" customFormat="1" x14ac:dyDescent="0.25">
      <c r="A1646" s="2" t="str">
        <f>IF(Сотрудники!A1653&lt;&gt;"",Сотрудники!A1653,"")</f>
        <v/>
      </c>
      <c r="B1646" s="1" t="str">
        <f>IF(Сотрудники!B1653 &lt;&gt; "",Сотрудники!B1653,"")</f>
        <v/>
      </c>
    </row>
    <row r="1647" spans="1:2" s="1" customFormat="1" x14ac:dyDescent="0.25">
      <c r="A1647" s="2" t="str">
        <f>IF(Сотрудники!A1654&lt;&gt;"",Сотрудники!A1654,"")</f>
        <v/>
      </c>
      <c r="B1647" s="1" t="str">
        <f>IF(Сотрудники!B1654 &lt;&gt; "",Сотрудники!B1654,"")</f>
        <v/>
      </c>
    </row>
    <row r="1648" spans="1:2" s="1" customFormat="1" x14ac:dyDescent="0.25">
      <c r="A1648" s="2" t="str">
        <f>IF(Сотрудники!A1655&lt;&gt;"",Сотрудники!A1655,"")</f>
        <v/>
      </c>
      <c r="B1648" s="1" t="str">
        <f>IF(Сотрудники!B1655 &lt;&gt; "",Сотрудники!B1655,"")</f>
        <v/>
      </c>
    </row>
    <row r="1649" spans="1:2" s="1" customFormat="1" x14ac:dyDescent="0.25">
      <c r="A1649" s="2" t="str">
        <f>IF(Сотрудники!A1656&lt;&gt;"",Сотрудники!A1656,"")</f>
        <v/>
      </c>
      <c r="B1649" s="1" t="str">
        <f>IF(Сотрудники!B1656 &lt;&gt; "",Сотрудники!B1656,"")</f>
        <v/>
      </c>
    </row>
    <row r="1650" spans="1:2" s="1" customFormat="1" x14ac:dyDescent="0.25">
      <c r="A1650" s="2" t="str">
        <f>IF(Сотрудники!A1657&lt;&gt;"",Сотрудники!A1657,"")</f>
        <v/>
      </c>
      <c r="B1650" s="1" t="str">
        <f>IF(Сотрудники!B1657 &lt;&gt; "",Сотрудники!B1657,"")</f>
        <v/>
      </c>
    </row>
    <row r="1651" spans="1:2" s="1" customFormat="1" x14ac:dyDescent="0.25">
      <c r="A1651" s="2" t="str">
        <f>IF(Сотрудники!A1658&lt;&gt;"",Сотрудники!A1658,"")</f>
        <v/>
      </c>
      <c r="B1651" s="1" t="str">
        <f>IF(Сотрудники!B1658 &lt;&gt; "",Сотрудники!B1658,"")</f>
        <v/>
      </c>
    </row>
    <row r="1652" spans="1:2" s="1" customFormat="1" x14ac:dyDescent="0.25">
      <c r="A1652" s="2" t="str">
        <f>IF(Сотрудники!A1659&lt;&gt;"",Сотрудники!A1659,"")</f>
        <v/>
      </c>
      <c r="B1652" s="1" t="str">
        <f>IF(Сотрудники!B1659 &lt;&gt; "",Сотрудники!B1659,"")</f>
        <v/>
      </c>
    </row>
    <row r="1653" spans="1:2" s="1" customFormat="1" x14ac:dyDescent="0.25">
      <c r="A1653" s="2" t="str">
        <f>IF(Сотрудники!A1660&lt;&gt;"",Сотрудники!A1660,"")</f>
        <v/>
      </c>
      <c r="B1653" s="1" t="str">
        <f>IF(Сотрудники!B1660 &lt;&gt; "",Сотрудники!B1660,"")</f>
        <v/>
      </c>
    </row>
    <row r="1654" spans="1:2" s="1" customFormat="1" x14ac:dyDescent="0.25">
      <c r="A1654" s="2" t="str">
        <f>IF(Сотрудники!A1661&lt;&gt;"",Сотрудники!A1661,"")</f>
        <v/>
      </c>
      <c r="B1654" s="1" t="str">
        <f>IF(Сотрудники!B1661 &lt;&gt; "",Сотрудники!B1661,"")</f>
        <v/>
      </c>
    </row>
    <row r="1655" spans="1:2" s="1" customFormat="1" x14ac:dyDescent="0.25">
      <c r="A1655" s="2" t="str">
        <f>IF(Сотрудники!A1662&lt;&gt;"",Сотрудники!A1662,"")</f>
        <v/>
      </c>
      <c r="B1655" s="1" t="str">
        <f>IF(Сотрудники!B1662 &lt;&gt; "",Сотрудники!B1662,"")</f>
        <v/>
      </c>
    </row>
    <row r="1656" spans="1:2" s="1" customFormat="1" x14ac:dyDescent="0.25">
      <c r="A1656" s="2" t="str">
        <f>IF(Сотрудники!A1663&lt;&gt;"",Сотрудники!A1663,"")</f>
        <v/>
      </c>
      <c r="B1656" s="1" t="str">
        <f>IF(Сотрудники!B1663 &lt;&gt; "",Сотрудники!B1663,"")</f>
        <v/>
      </c>
    </row>
    <row r="1657" spans="1:2" s="1" customFormat="1" x14ac:dyDescent="0.25">
      <c r="A1657" s="2" t="str">
        <f>IF(Сотрудники!A1664&lt;&gt;"",Сотрудники!A1664,"")</f>
        <v/>
      </c>
      <c r="B1657" s="1" t="str">
        <f>IF(Сотрудники!B1664 &lt;&gt; "",Сотрудники!B1664,"")</f>
        <v/>
      </c>
    </row>
    <row r="1658" spans="1:2" s="1" customFormat="1" x14ac:dyDescent="0.25">
      <c r="A1658" s="2" t="str">
        <f>IF(Сотрудники!A1665&lt;&gt;"",Сотрудники!A1665,"")</f>
        <v/>
      </c>
      <c r="B1658" s="1" t="str">
        <f>IF(Сотрудники!B1665 &lt;&gt; "",Сотрудники!B1665,"")</f>
        <v/>
      </c>
    </row>
    <row r="1659" spans="1:2" s="1" customFormat="1" x14ac:dyDescent="0.25">
      <c r="A1659" s="2" t="str">
        <f>IF(Сотрудники!A1666&lt;&gt;"",Сотрудники!A1666,"")</f>
        <v/>
      </c>
      <c r="B1659" s="1" t="str">
        <f>IF(Сотрудники!B1666 &lt;&gt; "",Сотрудники!B1666,"")</f>
        <v/>
      </c>
    </row>
    <row r="1660" spans="1:2" s="1" customFormat="1" x14ac:dyDescent="0.25">
      <c r="A1660" s="2" t="str">
        <f>IF(Сотрудники!A1667&lt;&gt;"",Сотрудники!A1667,"")</f>
        <v/>
      </c>
      <c r="B1660" s="1" t="str">
        <f>IF(Сотрудники!B1667 &lt;&gt; "",Сотрудники!B1667,"")</f>
        <v/>
      </c>
    </row>
    <row r="1661" spans="1:2" s="1" customFormat="1" x14ac:dyDescent="0.25">
      <c r="A1661" s="2" t="str">
        <f>IF(Сотрудники!A1668&lt;&gt;"",Сотрудники!A1668,"")</f>
        <v/>
      </c>
      <c r="B1661" s="1" t="str">
        <f>IF(Сотрудники!B1668 &lt;&gt; "",Сотрудники!B1668,"")</f>
        <v/>
      </c>
    </row>
    <row r="1662" spans="1:2" s="1" customFormat="1" x14ac:dyDescent="0.25">
      <c r="A1662" s="2" t="str">
        <f>IF(Сотрудники!A1669&lt;&gt;"",Сотрудники!A1669,"")</f>
        <v/>
      </c>
      <c r="B1662" s="1" t="str">
        <f>IF(Сотрудники!B1669 &lt;&gt; "",Сотрудники!B1669,"")</f>
        <v/>
      </c>
    </row>
    <row r="1663" spans="1:2" s="1" customFormat="1" x14ac:dyDescent="0.25">
      <c r="A1663" s="2" t="str">
        <f>IF(Сотрудники!A1670&lt;&gt;"",Сотрудники!A1670,"")</f>
        <v/>
      </c>
      <c r="B1663" s="1" t="str">
        <f>IF(Сотрудники!B1670 &lt;&gt; "",Сотрудники!B1670,"")</f>
        <v/>
      </c>
    </row>
    <row r="1664" spans="1:2" s="1" customFormat="1" x14ac:dyDescent="0.25">
      <c r="A1664" s="2" t="str">
        <f>IF(Сотрудники!A1671&lt;&gt;"",Сотрудники!A1671,"")</f>
        <v/>
      </c>
      <c r="B1664" s="1" t="str">
        <f>IF(Сотрудники!B1671 &lt;&gt; "",Сотрудники!B1671,"")</f>
        <v/>
      </c>
    </row>
    <row r="1665" spans="1:2" s="1" customFormat="1" x14ac:dyDescent="0.25">
      <c r="A1665" s="2" t="str">
        <f>IF(Сотрудники!A1672&lt;&gt;"",Сотрудники!A1672,"")</f>
        <v/>
      </c>
      <c r="B1665" s="1" t="str">
        <f>IF(Сотрудники!B1672 &lt;&gt; "",Сотрудники!B1672,"")</f>
        <v/>
      </c>
    </row>
    <row r="1666" spans="1:2" s="1" customFormat="1" x14ac:dyDescent="0.25">
      <c r="A1666" s="2" t="str">
        <f>IF(Сотрудники!A1673&lt;&gt;"",Сотрудники!A1673,"")</f>
        <v/>
      </c>
      <c r="B1666" s="1" t="str">
        <f>IF(Сотрудники!B1673 &lt;&gt; "",Сотрудники!B1673,"")</f>
        <v/>
      </c>
    </row>
    <row r="1667" spans="1:2" s="1" customFormat="1" x14ac:dyDescent="0.25">
      <c r="A1667" s="2" t="str">
        <f>IF(Сотрудники!A1674&lt;&gt;"",Сотрудники!A1674,"")</f>
        <v/>
      </c>
      <c r="B1667" s="1" t="str">
        <f>IF(Сотрудники!B1674 &lt;&gt; "",Сотрудники!B1674,"")</f>
        <v/>
      </c>
    </row>
    <row r="1668" spans="1:2" s="1" customFormat="1" x14ac:dyDescent="0.25">
      <c r="A1668" s="2" t="str">
        <f>IF(Сотрудники!A1675&lt;&gt;"",Сотрудники!A1675,"")</f>
        <v/>
      </c>
      <c r="B1668" s="1" t="str">
        <f>IF(Сотрудники!B1675 &lt;&gt; "",Сотрудники!B1675,"")</f>
        <v/>
      </c>
    </row>
    <row r="1669" spans="1:2" s="1" customFormat="1" x14ac:dyDescent="0.25">
      <c r="A1669" s="2" t="str">
        <f>IF(Сотрудники!A1676&lt;&gt;"",Сотрудники!A1676,"")</f>
        <v/>
      </c>
      <c r="B1669" s="1" t="str">
        <f>IF(Сотрудники!B1676 &lt;&gt; "",Сотрудники!B1676,"")</f>
        <v/>
      </c>
    </row>
    <row r="1670" spans="1:2" s="1" customFormat="1" x14ac:dyDescent="0.25">
      <c r="A1670" s="2" t="str">
        <f>IF(Сотрудники!A1677&lt;&gt;"",Сотрудники!A1677,"")</f>
        <v/>
      </c>
      <c r="B1670" s="1" t="str">
        <f>IF(Сотрудники!B1677 &lt;&gt; "",Сотрудники!B1677,"")</f>
        <v/>
      </c>
    </row>
    <row r="1671" spans="1:2" s="1" customFormat="1" x14ac:dyDescent="0.25">
      <c r="A1671" s="2" t="str">
        <f>IF(Сотрудники!A1678&lt;&gt;"",Сотрудники!A1678,"")</f>
        <v/>
      </c>
      <c r="B1671" s="1" t="str">
        <f>IF(Сотрудники!B1678 &lt;&gt; "",Сотрудники!B1678,"")</f>
        <v/>
      </c>
    </row>
    <row r="1672" spans="1:2" s="1" customFormat="1" x14ac:dyDescent="0.25">
      <c r="A1672" s="2" t="str">
        <f>IF(Сотрудники!A1679&lt;&gt;"",Сотрудники!A1679,"")</f>
        <v/>
      </c>
      <c r="B1672" s="1" t="str">
        <f>IF(Сотрудники!B1679 &lt;&gt; "",Сотрудники!B1679,"")</f>
        <v/>
      </c>
    </row>
    <row r="1673" spans="1:2" s="1" customFormat="1" x14ac:dyDescent="0.25">
      <c r="A1673" s="2" t="str">
        <f>IF(Сотрудники!A1680&lt;&gt;"",Сотрудники!A1680,"")</f>
        <v/>
      </c>
      <c r="B1673" s="1" t="str">
        <f>IF(Сотрудники!B1680 &lt;&gt; "",Сотрудники!B1680,"")</f>
        <v/>
      </c>
    </row>
    <row r="1674" spans="1:2" s="1" customFormat="1" x14ac:dyDescent="0.25">
      <c r="A1674" s="2" t="str">
        <f>IF(Сотрудники!A1681&lt;&gt;"",Сотрудники!A1681,"")</f>
        <v/>
      </c>
      <c r="B1674" s="1" t="str">
        <f>IF(Сотрудники!B1681 &lt;&gt; "",Сотрудники!B1681,"")</f>
        <v/>
      </c>
    </row>
    <row r="1675" spans="1:2" s="1" customFormat="1" x14ac:dyDescent="0.25">
      <c r="A1675" s="2" t="str">
        <f>IF(Сотрудники!A1682&lt;&gt;"",Сотрудники!A1682,"")</f>
        <v/>
      </c>
      <c r="B1675" s="1" t="str">
        <f>IF(Сотрудники!B1682 &lt;&gt; "",Сотрудники!B1682,"")</f>
        <v/>
      </c>
    </row>
    <row r="1676" spans="1:2" s="1" customFormat="1" x14ac:dyDescent="0.25">
      <c r="A1676" s="2" t="str">
        <f>IF(Сотрудники!A1683&lt;&gt;"",Сотрудники!A1683,"")</f>
        <v/>
      </c>
      <c r="B1676" s="1" t="str">
        <f>IF(Сотрудники!B1683 &lt;&gt; "",Сотрудники!B1683,"")</f>
        <v/>
      </c>
    </row>
    <row r="1677" spans="1:2" s="1" customFormat="1" x14ac:dyDescent="0.25">
      <c r="A1677" s="2" t="str">
        <f>IF(Сотрудники!A1684&lt;&gt;"",Сотрудники!A1684,"")</f>
        <v/>
      </c>
      <c r="B1677" s="1" t="str">
        <f>IF(Сотрудники!B1684 &lt;&gt; "",Сотрудники!B1684,"")</f>
        <v/>
      </c>
    </row>
    <row r="1678" spans="1:2" s="1" customFormat="1" x14ac:dyDescent="0.25">
      <c r="A1678" s="2" t="str">
        <f>IF(Сотрудники!A1685&lt;&gt;"",Сотрудники!A1685,"")</f>
        <v/>
      </c>
      <c r="B1678" s="1" t="str">
        <f>IF(Сотрудники!B1685 &lt;&gt; "",Сотрудники!B1685,"")</f>
        <v/>
      </c>
    </row>
    <row r="1679" spans="1:2" s="1" customFormat="1" x14ac:dyDescent="0.25">
      <c r="A1679" s="2" t="str">
        <f>IF(Сотрудники!A1686&lt;&gt;"",Сотрудники!A1686,"")</f>
        <v/>
      </c>
      <c r="B1679" s="1" t="str">
        <f>IF(Сотрудники!B1686 &lt;&gt; "",Сотрудники!B1686,"")</f>
        <v/>
      </c>
    </row>
    <row r="1680" spans="1:2" s="1" customFormat="1" x14ac:dyDescent="0.25">
      <c r="A1680" s="2" t="str">
        <f>IF(Сотрудники!A1687&lt;&gt;"",Сотрудники!A1687,"")</f>
        <v/>
      </c>
      <c r="B1680" s="1" t="str">
        <f>IF(Сотрудники!B1687 &lt;&gt; "",Сотрудники!B1687,"")</f>
        <v/>
      </c>
    </row>
    <row r="1681" spans="1:2" s="1" customFormat="1" x14ac:dyDescent="0.25">
      <c r="A1681" s="2" t="str">
        <f>IF(Сотрудники!A1688&lt;&gt;"",Сотрудники!A1688,"")</f>
        <v/>
      </c>
      <c r="B1681" s="1" t="str">
        <f>IF(Сотрудники!B1688 &lt;&gt; "",Сотрудники!B1688,"")</f>
        <v/>
      </c>
    </row>
    <row r="1682" spans="1:2" s="1" customFormat="1" x14ac:dyDescent="0.25">
      <c r="A1682" s="2" t="str">
        <f>IF(Сотрудники!A1689&lt;&gt;"",Сотрудники!A1689,"")</f>
        <v/>
      </c>
      <c r="B1682" s="1" t="str">
        <f>IF(Сотрудники!B1689 &lt;&gt; "",Сотрудники!B1689,"")</f>
        <v/>
      </c>
    </row>
    <row r="1683" spans="1:2" s="1" customFormat="1" x14ac:dyDescent="0.25">
      <c r="A1683" s="2" t="str">
        <f>IF(Сотрудники!A1690&lt;&gt;"",Сотрудники!A1690,"")</f>
        <v/>
      </c>
      <c r="B1683" s="1" t="str">
        <f>IF(Сотрудники!B1690 &lt;&gt; "",Сотрудники!B1690,"")</f>
        <v/>
      </c>
    </row>
    <row r="1684" spans="1:2" s="1" customFormat="1" x14ac:dyDescent="0.25">
      <c r="A1684" s="2" t="str">
        <f>IF(Сотрудники!A1691&lt;&gt;"",Сотрудники!A1691,"")</f>
        <v/>
      </c>
      <c r="B1684" s="1" t="str">
        <f>IF(Сотрудники!B1691 &lt;&gt; "",Сотрудники!B1691,"")</f>
        <v/>
      </c>
    </row>
    <row r="1685" spans="1:2" s="1" customFormat="1" x14ac:dyDescent="0.25">
      <c r="A1685" s="2" t="str">
        <f>IF(Сотрудники!A1692&lt;&gt;"",Сотрудники!A1692,"")</f>
        <v/>
      </c>
      <c r="B1685" s="1" t="str">
        <f>IF(Сотрудники!B1692 &lt;&gt; "",Сотрудники!B1692,"")</f>
        <v/>
      </c>
    </row>
    <row r="1686" spans="1:2" s="1" customFormat="1" x14ac:dyDescent="0.25">
      <c r="A1686" s="2" t="str">
        <f>IF(Сотрудники!A1693&lt;&gt;"",Сотрудники!A1693,"")</f>
        <v/>
      </c>
      <c r="B1686" s="1" t="str">
        <f>IF(Сотрудники!B1693 &lt;&gt; "",Сотрудники!B1693,"")</f>
        <v/>
      </c>
    </row>
    <row r="1687" spans="1:2" s="1" customFormat="1" x14ac:dyDescent="0.25">
      <c r="A1687" s="2" t="str">
        <f>IF(Сотрудники!A1694&lt;&gt;"",Сотрудники!A1694,"")</f>
        <v/>
      </c>
      <c r="B1687" s="1" t="str">
        <f>IF(Сотрудники!B1694 &lt;&gt; "",Сотрудники!B1694,"")</f>
        <v/>
      </c>
    </row>
    <row r="1688" spans="1:2" s="1" customFormat="1" x14ac:dyDescent="0.25">
      <c r="A1688" s="2" t="str">
        <f>IF(Сотрудники!A1695&lt;&gt;"",Сотрудники!A1695,"")</f>
        <v/>
      </c>
      <c r="B1688" s="1" t="str">
        <f>IF(Сотрудники!B1695 &lt;&gt; "",Сотрудники!B1695,"")</f>
        <v/>
      </c>
    </row>
    <row r="1689" spans="1:2" s="1" customFormat="1" x14ac:dyDescent="0.25">
      <c r="A1689" s="2" t="str">
        <f>IF(Сотрудники!A1696&lt;&gt;"",Сотрудники!A1696,"")</f>
        <v/>
      </c>
      <c r="B1689" s="1" t="str">
        <f>IF(Сотрудники!B1696 &lt;&gt; "",Сотрудники!B1696,"")</f>
        <v/>
      </c>
    </row>
    <row r="1690" spans="1:2" s="1" customFormat="1" x14ac:dyDescent="0.25">
      <c r="A1690" s="2" t="str">
        <f>IF(Сотрудники!A1697&lt;&gt;"",Сотрудники!A1697,"")</f>
        <v/>
      </c>
      <c r="B1690" s="1" t="str">
        <f>IF(Сотрудники!B1697 &lt;&gt; "",Сотрудники!B1697,"")</f>
        <v/>
      </c>
    </row>
    <row r="1691" spans="1:2" s="1" customFormat="1" x14ac:dyDescent="0.25">
      <c r="A1691" s="2" t="str">
        <f>IF(Сотрудники!A1698&lt;&gt;"",Сотрудники!A1698,"")</f>
        <v/>
      </c>
      <c r="B1691" s="1" t="str">
        <f>IF(Сотрудники!B1698 &lt;&gt; "",Сотрудники!B1698,"")</f>
        <v/>
      </c>
    </row>
    <row r="1692" spans="1:2" s="1" customFormat="1" x14ac:dyDescent="0.25">
      <c r="A1692" s="2" t="str">
        <f>IF(Сотрудники!A1699&lt;&gt;"",Сотрудники!A1699,"")</f>
        <v/>
      </c>
      <c r="B1692" s="1" t="str">
        <f>IF(Сотрудники!B1699 &lt;&gt; "",Сотрудники!B1699,"")</f>
        <v/>
      </c>
    </row>
    <row r="1693" spans="1:2" s="1" customFormat="1" x14ac:dyDescent="0.25">
      <c r="A1693" s="2" t="str">
        <f>IF(Сотрудники!A1700&lt;&gt;"",Сотрудники!A1700,"")</f>
        <v/>
      </c>
      <c r="B1693" s="1" t="str">
        <f>IF(Сотрудники!B1700 &lt;&gt; "",Сотрудники!B1700,"")</f>
        <v/>
      </c>
    </row>
    <row r="1694" spans="1:2" s="1" customFormat="1" x14ac:dyDescent="0.25">
      <c r="A1694" s="2" t="str">
        <f>IF(Сотрудники!A1701&lt;&gt;"",Сотрудники!A1701,"")</f>
        <v/>
      </c>
      <c r="B1694" s="1" t="str">
        <f>IF(Сотрудники!B1701 &lt;&gt; "",Сотрудники!B1701,"")</f>
        <v/>
      </c>
    </row>
    <row r="1695" spans="1:2" s="1" customFormat="1" x14ac:dyDescent="0.25">
      <c r="A1695" s="2" t="str">
        <f>IF(Сотрудники!A1702&lt;&gt;"",Сотрудники!A1702,"")</f>
        <v/>
      </c>
      <c r="B1695" s="1" t="str">
        <f>IF(Сотрудники!B1702 &lt;&gt; "",Сотрудники!B1702,"")</f>
        <v/>
      </c>
    </row>
    <row r="1696" spans="1:2" s="1" customFormat="1" x14ac:dyDescent="0.25">
      <c r="A1696" s="2" t="str">
        <f>IF(Сотрудники!A1703&lt;&gt;"",Сотрудники!A1703,"")</f>
        <v/>
      </c>
      <c r="B1696" s="1" t="str">
        <f>IF(Сотрудники!B1703 &lt;&gt; "",Сотрудники!B1703,"")</f>
        <v/>
      </c>
    </row>
    <row r="1697" spans="1:2" s="1" customFormat="1" x14ac:dyDescent="0.25">
      <c r="A1697" s="2" t="str">
        <f>IF(Сотрудники!A1704&lt;&gt;"",Сотрудники!A1704,"")</f>
        <v/>
      </c>
      <c r="B1697" s="1" t="str">
        <f>IF(Сотрудники!B1704 &lt;&gt; "",Сотрудники!B1704,"")</f>
        <v/>
      </c>
    </row>
  </sheetData>
  <protectedRanges>
    <protectedRange sqref="B2:XFD1697" name="Диапазон1"/>
  </protectedRange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FF00"/>
  </sheetPr>
  <dimension ref="A1:BC641"/>
  <sheetViews>
    <sheetView workbookViewId="0">
      <selection activeCell="C18" sqref="C18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1" t="s">
        <v>15</v>
      </c>
      <c r="C3" s="63"/>
      <c r="D3" s="63"/>
      <c r="E3" s="64"/>
    </row>
    <row r="4" spans="1:55" s="24" customFormat="1" ht="15" customHeight="1" x14ac:dyDescent="0.25">
      <c r="B4" s="62"/>
      <c r="C4" s="65"/>
      <c r="D4" s="65"/>
      <c r="E4" s="66"/>
    </row>
    <row r="5" spans="1:55" s="24" customFormat="1" ht="15" customHeight="1" x14ac:dyDescent="0.25">
      <c r="B5" s="62" t="s">
        <v>16</v>
      </c>
      <c r="C5" s="68"/>
      <c r="D5" s="68"/>
      <c r="E5" s="69"/>
    </row>
    <row r="6" spans="1:55" s="24" customFormat="1" ht="15" customHeight="1" thickBot="1" x14ac:dyDescent="0.3">
      <c r="B6" s="67"/>
      <c r="C6" s="70"/>
      <c r="D6" s="70"/>
      <c r="E6" s="71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29" t="s">
        <v>90</v>
      </c>
      <c r="E8" s="29" t="s">
        <v>91</v>
      </c>
      <c r="F8" s="27" t="s">
        <v>5</v>
      </c>
      <c r="G8" s="29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 t="str">
        <f>IF(B9&lt;&gt; "",ROW(B9) - 8,"")</f>
        <v/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 t="str">
        <f t="shared" ref="A10:A73" si="0">IF(B10&lt;&gt; "",ROW(B10) - 8,"")</f>
        <v/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 t="str">
        <f t="shared" si="0"/>
        <v/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 t="str">
        <f t="shared" si="0"/>
        <v/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 t="str">
        <f t="shared" si="0"/>
        <v/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 t="str">
        <f t="shared" si="0"/>
        <v/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 t="str">
        <f t="shared" si="0"/>
        <v/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 t="str">
        <f t="shared" si="0"/>
        <v/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 t="str">
        <f t="shared" si="0"/>
        <v/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 t="str">
        <f t="shared" si="0"/>
        <v/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C5:E6"/>
    <mergeCell ref="B5:B6"/>
    <mergeCell ref="B3:B4"/>
    <mergeCell ref="C3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I17"/>
  <sheetViews>
    <sheetView zoomScale="85" zoomScaleNormal="85" workbookViewId="0">
      <selection activeCell="H15" sqref="H15"/>
    </sheetView>
  </sheetViews>
  <sheetFormatPr defaultRowHeight="15.75" x14ac:dyDescent="0.25"/>
  <cols>
    <col min="1" max="1" width="22.42578125" style="18" customWidth="1"/>
    <col min="2" max="2" width="23.28515625" style="18" customWidth="1"/>
    <col min="3" max="3" width="33.140625" style="18" customWidth="1"/>
    <col min="4" max="4" width="16.7109375" style="18" customWidth="1"/>
    <col min="5" max="5" width="18.7109375" style="18" customWidth="1"/>
    <col min="6" max="6" width="16.28515625" style="18" customWidth="1"/>
    <col min="7" max="7" width="22.28515625" style="18" customWidth="1"/>
    <col min="8" max="8" width="73.42578125" style="22" customWidth="1"/>
    <col min="9" max="16384" width="9.140625" style="18"/>
  </cols>
  <sheetData>
    <row r="1" spans="1:9" customFormat="1" ht="28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6" t="s">
        <v>4</v>
      </c>
      <c r="F1" s="5" t="s">
        <v>5</v>
      </c>
      <c r="G1" s="7" t="s">
        <v>11</v>
      </c>
      <c r="H1" s="20" t="s">
        <v>12</v>
      </c>
    </row>
    <row r="2" spans="1:9" ht="30" customHeight="1" x14ac:dyDescent="0.25">
      <c r="A2" s="16">
        <v>1</v>
      </c>
      <c r="B2" s="16" t="s">
        <v>29</v>
      </c>
      <c r="C2" s="16"/>
      <c r="D2" s="16"/>
      <c r="E2" s="16"/>
      <c r="F2" s="16"/>
      <c r="G2" s="17">
        <v>44610</v>
      </c>
      <c r="H2" s="21" t="s">
        <v>30</v>
      </c>
      <c r="I2" s="16"/>
    </row>
    <row r="3" spans="1:9" ht="30" customHeight="1" x14ac:dyDescent="0.25">
      <c r="A3" s="16">
        <v>2</v>
      </c>
      <c r="B3" s="16" t="s">
        <v>29</v>
      </c>
      <c r="C3" s="16"/>
      <c r="D3" s="16"/>
      <c r="E3" s="16"/>
      <c r="F3" s="16"/>
      <c r="G3" s="17">
        <v>44610</v>
      </c>
      <c r="H3" s="21" t="s">
        <v>30</v>
      </c>
      <c r="I3" s="16"/>
    </row>
    <row r="4" spans="1:9" ht="30" customHeight="1" x14ac:dyDescent="0.25">
      <c r="A4" s="16">
        <v>3</v>
      </c>
      <c r="B4" s="16" t="s">
        <v>29</v>
      </c>
      <c r="C4" s="16"/>
      <c r="D4" s="16"/>
      <c r="E4" s="16"/>
      <c r="F4" s="16"/>
      <c r="G4" s="17">
        <v>44610</v>
      </c>
      <c r="H4" s="21" t="s">
        <v>31</v>
      </c>
      <c r="I4" s="16"/>
    </row>
    <row r="5" spans="1:9" ht="30" customHeight="1" x14ac:dyDescent="0.25">
      <c r="A5" s="16">
        <v>4</v>
      </c>
      <c r="B5" s="16" t="s">
        <v>29</v>
      </c>
      <c r="C5" s="16"/>
      <c r="D5" s="16"/>
      <c r="E5" s="16"/>
      <c r="F5" s="16"/>
      <c r="G5" s="17">
        <v>44629</v>
      </c>
      <c r="H5" s="21" t="s">
        <v>32</v>
      </c>
      <c r="I5" s="16"/>
    </row>
    <row r="6" spans="1:9" ht="30" customHeight="1" x14ac:dyDescent="0.25">
      <c r="A6" s="16">
        <v>5</v>
      </c>
      <c r="B6" s="16" t="s">
        <v>29</v>
      </c>
      <c r="C6" s="16"/>
      <c r="D6" s="16"/>
      <c r="E6" s="16"/>
      <c r="F6" s="16"/>
      <c r="G6" s="17">
        <v>44629</v>
      </c>
      <c r="H6" s="21" t="s">
        <v>33</v>
      </c>
      <c r="I6" s="16"/>
    </row>
    <row r="7" spans="1:9" ht="30" customHeight="1" x14ac:dyDescent="0.25">
      <c r="A7" s="16">
        <v>6</v>
      </c>
      <c r="B7" s="16" t="s">
        <v>29</v>
      </c>
      <c r="C7" s="16"/>
      <c r="D7" s="16"/>
      <c r="E7" s="16"/>
      <c r="F7" s="16"/>
      <c r="G7" s="17">
        <v>44629</v>
      </c>
      <c r="H7" s="21" t="s">
        <v>31</v>
      </c>
      <c r="I7" s="16"/>
    </row>
    <row r="8" spans="1:9" ht="30" customHeight="1" x14ac:dyDescent="0.25">
      <c r="A8" s="18">
        <v>7</v>
      </c>
      <c r="B8" s="18" t="s">
        <v>29</v>
      </c>
      <c r="G8" s="23">
        <v>44629</v>
      </c>
      <c r="H8" s="22" t="s">
        <v>31</v>
      </c>
    </row>
    <row r="9" spans="1:9" ht="30" customHeight="1" x14ac:dyDescent="0.25">
      <c r="A9" s="18">
        <v>8</v>
      </c>
      <c r="B9" s="18" t="s">
        <v>29</v>
      </c>
      <c r="G9" s="23">
        <v>44629</v>
      </c>
      <c r="H9" s="22" t="s">
        <v>31</v>
      </c>
    </row>
    <row r="10" spans="1:9" ht="30" customHeight="1" x14ac:dyDescent="0.25">
      <c r="A10" s="18">
        <v>9</v>
      </c>
      <c r="B10" s="18" t="s">
        <v>29</v>
      </c>
      <c r="G10" s="23">
        <v>44629</v>
      </c>
      <c r="H10" s="22" t="s">
        <v>31</v>
      </c>
    </row>
    <row r="11" spans="1:9" ht="30" customHeight="1" x14ac:dyDescent="0.25">
      <c r="A11" s="18">
        <v>10</v>
      </c>
      <c r="B11" s="18" t="s">
        <v>29</v>
      </c>
      <c r="G11" s="23">
        <v>44629</v>
      </c>
      <c r="H11" s="22" t="s">
        <v>34</v>
      </c>
    </row>
    <row r="12" spans="1:9" ht="30" customHeight="1" x14ac:dyDescent="0.25">
      <c r="A12" s="18">
        <v>11</v>
      </c>
      <c r="B12" s="18" t="s">
        <v>29</v>
      </c>
      <c r="G12" s="23">
        <v>44629</v>
      </c>
      <c r="H12" s="22" t="s">
        <v>34</v>
      </c>
    </row>
    <row r="13" spans="1:9" ht="30" customHeight="1" x14ac:dyDescent="0.25">
      <c r="A13" s="18">
        <v>12</v>
      </c>
      <c r="B13" s="18" t="s">
        <v>29</v>
      </c>
      <c r="G13" s="23">
        <v>44629</v>
      </c>
      <c r="H13" s="22" t="s">
        <v>34</v>
      </c>
    </row>
    <row r="14" spans="1:9" ht="30" customHeight="1" x14ac:dyDescent="0.25">
      <c r="A14" s="18">
        <v>13</v>
      </c>
      <c r="B14" s="18" t="s">
        <v>29</v>
      </c>
      <c r="G14" s="23">
        <v>44629</v>
      </c>
      <c r="H14" s="22" t="s">
        <v>34</v>
      </c>
    </row>
    <row r="15" spans="1:9" ht="30" customHeight="1" x14ac:dyDescent="0.25">
      <c r="A15" s="18">
        <v>14</v>
      </c>
      <c r="B15" s="18" t="s">
        <v>29</v>
      </c>
      <c r="G15" s="23">
        <v>44629</v>
      </c>
      <c r="H15" s="22" t="s">
        <v>34</v>
      </c>
    </row>
    <row r="16" spans="1:9" ht="30" customHeight="1" x14ac:dyDescent="0.25">
      <c r="A16" s="18">
        <v>15</v>
      </c>
      <c r="B16" s="18" t="s">
        <v>29</v>
      </c>
      <c r="G16" s="23">
        <v>44629</v>
      </c>
      <c r="H16" s="22" t="s">
        <v>35</v>
      </c>
    </row>
    <row r="17" spans="1:8" x14ac:dyDescent="0.25">
      <c r="A17" s="18">
        <v>16</v>
      </c>
      <c r="B17" s="18" t="s">
        <v>84</v>
      </c>
      <c r="C17" s="18" t="s">
        <v>85</v>
      </c>
      <c r="D17" s="18" t="s">
        <v>86</v>
      </c>
      <c r="E17" s="18" t="s">
        <v>87</v>
      </c>
      <c r="F17" s="18" t="s">
        <v>88</v>
      </c>
      <c r="G17" s="23">
        <v>44630</v>
      </c>
      <c r="H17" s="22" t="s">
        <v>89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C2"/>
  <sheetViews>
    <sheetView workbookViewId="0">
      <selection activeCell="G28" sqref="G28"/>
    </sheetView>
  </sheetViews>
  <sheetFormatPr defaultRowHeight="15" x14ac:dyDescent="0.25"/>
  <cols>
    <col min="1" max="3" width="48.28515625" style="12" customWidth="1"/>
    <col min="4" max="16384" width="9.140625" style="8"/>
  </cols>
  <sheetData>
    <row r="1" spans="1:3" customFormat="1" ht="50.25" customHeight="1" x14ac:dyDescent="0.25">
      <c r="A1" s="11" t="s">
        <v>19</v>
      </c>
      <c r="B1" s="11" t="s">
        <v>20</v>
      </c>
      <c r="C1" s="11" t="s">
        <v>21</v>
      </c>
    </row>
    <row r="2" spans="1:3" s="1" customFormat="1" ht="66.75" customHeight="1" x14ac:dyDescent="0.25">
      <c r="A2" s="10" t="s">
        <v>22</v>
      </c>
      <c r="B2" s="10" t="s">
        <v>23</v>
      </c>
      <c r="C2" s="10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Сотрудники</vt:lpstr>
      <vt:lpstr>Электробезопасн</vt:lpstr>
      <vt:lpstr>Охрана труда (г</vt:lpstr>
      <vt:lpstr>Пожарная безопа</vt:lpstr>
      <vt:lpstr>Мероприятия</vt:lpstr>
      <vt:lpstr>Отвественные</vt:lpstr>
      <vt:lpstr>Дата последнего оповещения</vt:lpstr>
      <vt:lpstr>Свод</vt:lpstr>
      <vt:lpstr>Историчность</vt:lpstr>
      <vt:lpstr>Образец письма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2023-07-19T10:10:53Z</dcterms:modified>
</cp:coreProperties>
</file>